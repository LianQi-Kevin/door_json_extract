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working_A4000\Desktop\"/>
    </mc:Choice>
  </mc:AlternateContent>
  <xr:revisionPtr revIDLastSave="0" documentId="13_ncr:1_{BA915A2A-22BB-47C9-AF5A-C051A0AAF977}" xr6:coauthVersionLast="47" xr6:coauthVersionMax="47" xr10:uidLastSave="{00000000-0000-0000-0000-000000000000}"/>
  <bookViews>
    <workbookView xWindow="1140" yWindow="84" windowWidth="14604" windowHeight="16680" tabRatio="949" firstSheet="40" activeTab="44" xr2:uid="{00000000-000D-0000-FFFF-FFFF00000000}"/>
  </bookViews>
  <sheets>
    <sheet name="穿孔 (2)" sheetId="8" state="hidden" r:id="rId1"/>
    <sheet name="创建副本--类推 (4)" sheetId="7" state="hidden" r:id="rId2"/>
    <sheet name="地上建筑工程-门窗" sheetId="354" r:id="rId3"/>
    <sheet name="MF(C)ID1023" sheetId="275" r:id="rId4"/>
    <sheet name="MF(A)ID1023" sheetId="311" r:id="rId5"/>
    <sheet name="MF(A)ID1423" sheetId="312" r:id="rId6"/>
    <sheet name="MF(A)ID1523 " sheetId="313" r:id="rId7"/>
    <sheet name="TAF(A)D1523 " sheetId="314" r:id="rId8"/>
    <sheet name="MF(A)PD1523 " sheetId="315" r:id="rId9"/>
    <sheet name="MF(C)D0621 " sheetId="316" r:id="rId10"/>
    <sheet name="MF(C)D0921 " sheetId="317" r:id="rId11"/>
    <sheet name="TAF(C)D0923 " sheetId="356" r:id="rId12"/>
    <sheet name="TAF(C)D0923(1) " sheetId="318" r:id="rId13"/>
    <sheet name="MF(A)D1023 " sheetId="319" r:id="rId14"/>
    <sheet name="TAF(C)D1123 " sheetId="320" r:id="rId15"/>
    <sheet name="MF(A)D1223 " sheetId="362" r:id="rId16"/>
    <sheet name="TAGF(A)D2323.f " sheetId="363" r:id="rId17"/>
    <sheet name="MGF(B)D1023 " sheetId="364" r:id="rId18"/>
    <sheet name="MF(A)D1123 " sheetId="365" r:id="rId19"/>
    <sheet name="TAF(B)D10'23 " sheetId="366" r:id="rId20"/>
    <sheet name="TAF(B)D1123(1) " sheetId="367" r:id="rId21"/>
    <sheet name="MGF(B)PD1523 " sheetId="369" r:id="rId22"/>
    <sheet name="MGF(B)D1523 " sheetId="370" r:id="rId23"/>
    <sheet name="MD1021 " sheetId="371" r:id="rId24"/>
    <sheet name="MGD1023 " sheetId="372" r:id="rId25"/>
    <sheet name="MD1121 " sheetId="373" r:id="rId26"/>
    <sheet name="MD1123 " sheetId="374" r:id="rId27"/>
    <sheet name="TAF(B)D1123 " sheetId="375" r:id="rId28"/>
    <sheet name="TAPD1123 " sheetId="376" r:id="rId29"/>
    <sheet name="TGAF(B)D1423.e.t " sheetId="377" r:id="rId30"/>
    <sheet name="TAGF(B)D1423.e.t " sheetId="378" r:id="rId31"/>
    <sheet name="TAF(B)PD1523 " sheetId="380" r:id="rId32"/>
    <sheet name="TAGF(B)D15'23.f " sheetId="381" r:id="rId33"/>
    <sheet name="TAGF(A)D15'23.f" sheetId="382" r:id="rId34"/>
    <sheet name="MGF(B)D1423.t " sheetId="383" r:id="rId35"/>
    <sheet name="TGAF(B)D1423.e.t(1) " sheetId="384" r:id="rId36"/>
    <sheet name="TGAF(B)D1523.t " sheetId="385" r:id="rId37"/>
    <sheet name="TAF(B)D1123(2) " sheetId="387" r:id="rId38"/>
    <sheet name="TAD1123 " sheetId="388" r:id="rId39"/>
    <sheet name="TGAF(B)D1523.e.t " sheetId="389" r:id="rId40"/>
    <sheet name="TAF(B)D1024' " sheetId="391" r:id="rId41"/>
    <sheet name="TAF(B)D10'24' " sheetId="392" r:id="rId42"/>
    <sheet name="TAF(B)D1523 " sheetId="393" r:id="rId43"/>
    <sheet name="TAGF(B)D1823 " sheetId="394" r:id="rId44"/>
    <sheet name="MGID1423.e.t " sheetId="395" r:id="rId45"/>
    <sheet name="MGID1223 " sheetId="396" r:id="rId46"/>
    <sheet name="TAF(A)D2124.e " sheetId="397" r:id="rId47"/>
    <sheet name="TAF(A)D1824 " sheetId="398" r:id="rId48"/>
    <sheet name="TAF(A)D2831'.f " sheetId="399" r:id="rId49"/>
    <sheet name="MGF(B)PD1123" sheetId="400" r:id="rId50"/>
    <sheet name="TAF(B)D1023(1)" sheetId="401" r:id="rId51"/>
    <sheet name="TAF(C)D1023(1)" sheetId="402" r:id="rId52"/>
    <sheet name="砌块墙" sheetId="33" state="hidden" r:id="rId53"/>
    <sheet name="坎台" sheetId="3" state="hidden" r:id="rId54"/>
    <sheet name="构造柱砼" sheetId="4" state="hidden" r:id="rId55"/>
    <sheet name="过梁" sheetId="22" state="hidden" r:id="rId56"/>
    <sheet name="圈梁" sheetId="29" state="hidden" r:id="rId57"/>
    <sheet name="坎台模板" sheetId="23" state="hidden" r:id="rId58"/>
    <sheet name="构造柱模板" sheetId="24" state="hidden" r:id="rId59"/>
    <sheet name="过梁模板" sheetId="26" state="hidden" r:id="rId60"/>
    <sheet name="圈梁模板 " sheetId="30" state="hidden" r:id="rId61"/>
    <sheet name="墙体压筋" sheetId="25" state="hidden" r:id="rId62"/>
    <sheet name="10以内钢筋" sheetId="27" state="hidden" r:id="rId63"/>
    <sheet name="钢筋12" sheetId="28" state="hidden" r:id="rId64"/>
    <sheet name="植筋" sheetId="6" state="hidden" r:id="rId65"/>
    <sheet name="拆除砌块墙" sheetId="11" state="hidden" r:id="rId66"/>
    <sheet name="拆除钢筋混凝土" sheetId="31" state="hidden" r:id="rId67"/>
    <sheet name="垃圾消纳" sheetId="32" state="hidden" r:id="rId68"/>
    <sheet name="钢筋重量" sheetId="13" state="hidden" r:id="rId69"/>
    <sheet name="焊接连接" sheetId="14" state="hidden" r:id="rId70"/>
    <sheet name="混凝土浇筑" sheetId="15" state="hidden" r:id="rId71"/>
    <sheet name="碳纤维布加固" sheetId="16" state="hidden" r:id="rId72"/>
    <sheet name="打洞（孔）" sheetId="17" state="hidden" r:id="rId73"/>
    <sheet name="钢筋除锈" sheetId="18" state="hidden" r:id="rId74"/>
    <sheet name="模板" sheetId="19" state="hidden" r:id="rId75"/>
  </sheets>
  <definedNames>
    <definedName name="_xlnm._FilterDatabase" localSheetId="2" hidden="1">'地上建筑工程-门窗'!#REF!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9" l="1"/>
  <c r="H13" i="19"/>
  <c r="H9" i="19"/>
  <c r="H8" i="19"/>
  <c r="H27" i="19" s="1"/>
  <c r="H27" i="18"/>
  <c r="H27" i="17"/>
  <c r="H10" i="16"/>
  <c r="H9" i="16"/>
  <c r="H8" i="16"/>
  <c r="H27" i="16" s="1"/>
  <c r="H27" i="15"/>
  <c r="H27" i="14"/>
  <c r="F9" i="14"/>
  <c r="F8" i="14"/>
  <c r="C10" i="13"/>
  <c r="H10" i="13" s="1"/>
  <c r="H9" i="13"/>
  <c r="C9" i="13"/>
  <c r="C8" i="13"/>
  <c r="H8" i="13" s="1"/>
  <c r="H27" i="13" s="1"/>
  <c r="H16" i="32"/>
  <c r="H15" i="32"/>
  <c r="H14" i="32"/>
  <c r="H12" i="32"/>
  <c r="H10" i="32"/>
  <c r="H9" i="32"/>
  <c r="H8" i="32"/>
  <c r="H27" i="32" s="1"/>
  <c r="F4" i="32" s="1"/>
  <c r="H27" i="31"/>
  <c r="F4" i="31" s="1"/>
  <c r="H12" i="31"/>
  <c r="H10" i="31"/>
  <c r="H9" i="31"/>
  <c r="H8" i="31"/>
  <c r="H10" i="11"/>
  <c r="H27" i="11" s="1"/>
  <c r="F4" i="11" s="1"/>
  <c r="H9" i="11"/>
  <c r="H8" i="11"/>
  <c r="H25" i="6"/>
  <c r="H10" i="28"/>
  <c r="H9" i="28"/>
  <c r="H8" i="28"/>
  <c r="H27" i="28" s="1"/>
  <c r="F4" i="28" s="1"/>
  <c r="H27" i="27"/>
  <c r="F4" i="27" s="1"/>
  <c r="H13" i="27"/>
  <c r="H12" i="27"/>
  <c r="H11" i="27"/>
  <c r="H9" i="27"/>
  <c r="H8" i="27"/>
  <c r="H7" i="27"/>
  <c r="H8" i="25"/>
  <c r="H27" i="25" s="1"/>
  <c r="F4" i="25" s="1"/>
  <c r="H26" i="30"/>
  <c r="H7" i="30"/>
  <c r="F4" i="30"/>
  <c r="H27" i="26"/>
  <c r="F4" i="26" s="1"/>
  <c r="H7" i="26"/>
  <c r="H9" i="24"/>
  <c r="H8" i="24"/>
  <c r="H27" i="24" s="1"/>
  <c r="F4" i="24" s="1"/>
  <c r="H10" i="23"/>
  <c r="H27" i="23" s="1"/>
  <c r="H9" i="23"/>
  <c r="H8" i="23"/>
  <c r="H8" i="29"/>
  <c r="H27" i="29" s="1"/>
  <c r="F4" i="29" s="1"/>
  <c r="H7" i="22"/>
  <c r="H26" i="22" s="1"/>
  <c r="F4" i="22" s="1"/>
  <c r="H9" i="4"/>
  <c r="H8" i="4"/>
  <c r="H26" i="4" s="1"/>
  <c r="H27" i="3"/>
  <c r="H10" i="33"/>
  <c r="H9" i="33"/>
  <c r="H8" i="33"/>
  <c r="H27" i="33" s="1"/>
  <c r="F4" i="33" s="1"/>
  <c r="G27" i="402"/>
  <c r="B7" i="402"/>
  <c r="F4" i="402"/>
  <c r="G27" i="401"/>
  <c r="B7" i="401"/>
  <c r="F4" i="401"/>
  <c r="G27" i="400"/>
  <c r="F4" i="400" s="1"/>
  <c r="B7" i="400"/>
  <c r="G27" i="399"/>
  <c r="F4" i="399"/>
  <c r="G27" i="398"/>
  <c r="B7" i="398"/>
  <c r="F4" i="398"/>
  <c r="G27" i="397"/>
  <c r="F4" i="397" s="1"/>
  <c r="B7" i="397"/>
  <c r="G27" i="396"/>
  <c r="B7" i="396"/>
  <c r="F4" i="396"/>
  <c r="G27" i="395"/>
  <c r="F4" i="395" s="1"/>
  <c r="B7" i="395"/>
  <c r="G27" i="394"/>
  <c r="F4" i="394" s="1"/>
  <c r="B7" i="394"/>
  <c r="G27" i="393"/>
  <c r="F4" i="393" s="1"/>
  <c r="B7" i="393"/>
  <c r="G27" i="392"/>
  <c r="F4" i="392" s="1"/>
  <c r="B7" i="392"/>
  <c r="G27" i="391"/>
  <c r="B7" i="391"/>
  <c r="F4" i="391"/>
  <c r="G27" i="389"/>
  <c r="B7" i="389"/>
  <c r="F4" i="389"/>
  <c r="G27" i="388"/>
  <c r="F4" i="388" s="1"/>
  <c r="B7" i="388"/>
  <c r="G27" i="387"/>
  <c r="B7" i="387"/>
  <c r="F4" i="387"/>
  <c r="G27" i="385"/>
  <c r="F4" i="385" s="1"/>
  <c r="B7" i="385"/>
  <c r="G27" i="384"/>
  <c r="B7" i="384"/>
  <c r="F4" i="384"/>
  <c r="G27" i="383"/>
  <c r="B7" i="383"/>
  <c r="F4" i="383"/>
  <c r="G27" i="382"/>
  <c r="F4" i="382" s="1"/>
  <c r="B7" i="382"/>
  <c r="G27" i="381"/>
  <c r="F4" i="381" s="1"/>
  <c r="B7" i="381"/>
  <c r="G27" i="380"/>
  <c r="B7" i="380"/>
  <c r="F4" i="380"/>
  <c r="G27" i="378"/>
  <c r="B7" i="378"/>
  <c r="F4" i="378"/>
  <c r="G27" i="377"/>
  <c r="B7" i="377"/>
  <c r="F4" i="377"/>
  <c r="G27" i="376"/>
  <c r="B7" i="376"/>
  <c r="F4" i="376"/>
  <c r="G27" i="375"/>
  <c r="F4" i="375" s="1"/>
  <c r="B7" i="375"/>
  <c r="G27" i="374"/>
  <c r="F4" i="374" s="1"/>
  <c r="B7" i="374"/>
  <c r="G27" i="373"/>
  <c r="F4" i="373" s="1"/>
  <c r="B7" i="373"/>
  <c r="G27" i="372"/>
  <c r="B7" i="372"/>
  <c r="F4" i="372"/>
  <c r="G27" i="371"/>
  <c r="B7" i="371"/>
  <c r="F4" i="371"/>
  <c r="G27" i="370"/>
  <c r="B7" i="370"/>
  <c r="F4" i="370"/>
  <c r="G27" i="369"/>
  <c r="F4" i="369" s="1"/>
  <c r="B7" i="369"/>
  <c r="G27" i="367"/>
  <c r="B7" i="367"/>
  <c r="F4" i="367"/>
  <c r="G27" i="366"/>
  <c r="F4" i="366" s="1"/>
  <c r="B7" i="366"/>
  <c r="G27" i="365"/>
  <c r="B7" i="365"/>
  <c r="F4" i="365"/>
  <c r="G27" i="364"/>
  <c r="F4" i="364" s="1"/>
  <c r="B7" i="364"/>
  <c r="G27" i="363"/>
  <c r="B7" i="363"/>
  <c r="F4" i="363"/>
  <c r="G27" i="362"/>
  <c r="B7" i="362"/>
  <c r="F4" i="362"/>
  <c r="G27" i="320"/>
  <c r="F4" i="320" s="1"/>
  <c r="B7" i="320"/>
  <c r="G27" i="319"/>
  <c r="B7" i="319"/>
  <c r="F4" i="319"/>
  <c r="G27" i="318"/>
  <c r="B7" i="318"/>
  <c r="F4" i="318"/>
  <c r="G27" i="356"/>
  <c r="F4" i="356" s="1"/>
  <c r="B7" i="356"/>
  <c r="G27" i="317"/>
  <c r="B7" i="317"/>
  <c r="F4" i="317"/>
  <c r="G27" i="316"/>
  <c r="B7" i="316"/>
  <c r="F4" i="316"/>
  <c r="G27" i="315"/>
  <c r="B7" i="315"/>
  <c r="F4" i="315"/>
  <c r="G27" i="314"/>
  <c r="B7" i="314"/>
  <c r="F4" i="314"/>
  <c r="G27" i="313"/>
  <c r="F4" i="313" s="1"/>
  <c r="B7" i="313"/>
  <c r="G27" i="312"/>
  <c r="B7" i="312"/>
  <c r="F4" i="312"/>
  <c r="G27" i="311"/>
  <c r="F4" i="311" s="1"/>
  <c r="B7" i="311"/>
  <c r="G27" i="275"/>
  <c r="B7" i="275"/>
  <c r="F4" i="275"/>
  <c r="G58" i="354"/>
  <c r="F58" i="354"/>
  <c r="G6" i="354"/>
  <c r="F6" i="354"/>
  <c r="H27" i="7"/>
  <c r="H27" i="8"/>
  <c r="F4" i="4" l="1"/>
</calcChain>
</file>

<file path=xl/sharedStrings.xml><?xml version="1.0" encoding="utf-8"?>
<sst xmlns="http://schemas.openxmlformats.org/spreadsheetml/2006/main" count="2719" uniqueCount="324">
  <si>
    <r>
      <rPr>
        <b/>
        <sz val="16"/>
        <rFont val="Times New Roman"/>
        <family val="1"/>
      </rPr>
      <t xml:space="preserve">   </t>
    </r>
    <r>
      <rPr>
        <b/>
        <u/>
        <sz val="16"/>
        <rFont val="Times New Roman"/>
        <family val="1"/>
      </rPr>
      <t xml:space="preserve"> </t>
    </r>
    <r>
      <rPr>
        <b/>
        <u/>
        <sz val="16"/>
        <rFont val="宋体"/>
        <family val="3"/>
        <charset val="134"/>
      </rPr>
      <t>清单</t>
    </r>
    <r>
      <rPr>
        <b/>
        <u/>
        <sz val="16"/>
        <rFont val="Times New Roman"/>
        <family val="1"/>
      </rPr>
      <t xml:space="preserve"> </t>
    </r>
    <r>
      <rPr>
        <b/>
        <sz val="16"/>
        <rFont val="宋体"/>
        <family val="3"/>
        <charset val="134"/>
      </rPr>
      <t>工程量计算表</t>
    </r>
  </si>
  <si>
    <t>单位工程名称</t>
  </si>
  <si>
    <t>首旅大厦项目</t>
  </si>
  <si>
    <t>项目编码</t>
  </si>
  <si>
    <t>分部分项工程名称</t>
  </si>
  <si>
    <t>消防水池加固</t>
  </si>
  <si>
    <t>项目名称</t>
  </si>
  <si>
    <t>计量单位</t>
  </si>
  <si>
    <t>计算工程量</t>
  </si>
  <si>
    <r>
      <rPr>
        <sz val="10"/>
        <rFont val="宋体"/>
        <family val="3"/>
        <charset val="134"/>
      </rPr>
      <t>计算式（必要时附图）：</t>
    </r>
  </si>
  <si>
    <t>序号</t>
  </si>
  <si>
    <t>名称</t>
  </si>
  <si>
    <t>长m</t>
  </si>
  <si>
    <t>宽m</t>
  </si>
  <si>
    <t>高m</t>
  </si>
  <si>
    <t>数量（个）</t>
  </si>
  <si>
    <t>理论重量</t>
  </si>
  <si>
    <t>总量</t>
  </si>
  <si>
    <t>合计</t>
  </si>
  <si>
    <t>分部分项工程和单价措施项目清单与计价表</t>
  </si>
  <si>
    <t>工程名称：北塔建筑工程-防火门工程</t>
  </si>
  <si>
    <t>子目编码</t>
  </si>
  <si>
    <t>子目名称</t>
  </si>
  <si>
    <t>子目特征描述</t>
  </si>
  <si>
    <t>原清单工程量</t>
  </si>
  <si>
    <t>重计量工程量</t>
  </si>
  <si>
    <t>金额（元）</t>
  </si>
  <si>
    <t>备注</t>
  </si>
  <si>
    <t>综合单价</t>
  </si>
  <si>
    <t>原清单工程量
合价</t>
  </si>
  <si>
    <t>重计量工程量
合价</t>
  </si>
  <si>
    <t>增减金额</t>
  </si>
  <si>
    <t>一</t>
  </si>
  <si>
    <t>合同外增补</t>
  </si>
  <si>
    <t>01B001</t>
  </si>
  <si>
    <t>钢质防火门</t>
  </si>
  <si>
    <t>名称：MF(C)ID1023钢质丙级防火门
1.洞口尺寸：1000X2300；
2.开启方式：单扇平开；
3.后塞口、门框灌浆；
4.闭门器、门锁、合页、玻璃等五金配件；
5.制作安装，门扇一次成活</t>
  </si>
  <si>
    <t>樘</t>
  </si>
  <si>
    <t>01B002</t>
  </si>
  <si>
    <t>名称：MF(A)ID1023 钢质甲级防火门
1.洞口尺寸：1000X2300；
2.开启方式：单扇平开；
3.后塞口、门框灌浆；
4.闭门器、门锁、合页、玻璃等五金配件；
5.制作安装，门扇一次成活</t>
  </si>
  <si>
    <t>01B003</t>
  </si>
  <si>
    <t>名称：MF(A)ID1423钢质甲级防火门
1.洞口尺寸：1400X2300；
2.开启方式：双扇平开；
3.后塞口、门框灌浆；
4.闭门器、门锁、合页、玻璃等五金配件；
5.制作安装，门扇一次成活</t>
  </si>
  <si>
    <t>01B004</t>
  </si>
  <si>
    <t>名称：MF(A)ID1523钢质甲级防火门
1.洞口尺寸：1500X2300；
2.开启方式：双扇平开；
3.后塞口、门框灌浆；
4.闭门器、门锁、合页、玻璃等五金配件；
5.制作安装，门扇一次成活</t>
  </si>
  <si>
    <t>01B005</t>
  </si>
  <si>
    <t>名称：TAF(A)D1523钢质甲级防火门
1.洞口尺寸：1500X2300；
2.开启方式：双扇平开；
3.后塞口、门框灌浆；
4.闭门器、门锁、合页、玻璃等五金配件；
5.制作安装，门扇一次成活</t>
  </si>
  <si>
    <t>01B006</t>
  </si>
  <si>
    <t>名称：MF(A)PD1523钢质甲级防火门
1.洞口尺寸：1500X2300；
2.开启方式：双扇平开；
3.后塞口、门框灌浆；
4.闭门器、门锁、合页、玻璃等五金配件；
5.制作安装，门扇一次成活</t>
  </si>
  <si>
    <t>01B007</t>
  </si>
  <si>
    <t>名称：MF(C)D0621钢质丙级防火门
1.洞口尺寸：600X2100；
2.开启方式：单扇平开；
3.后塞口、门框灌浆；
4.闭门器、门锁、合页、玻璃等五金配件；
5.制作安装，门扇一次成活</t>
  </si>
  <si>
    <t>01B008</t>
  </si>
  <si>
    <t>名称：MF(C)D0921 钢质丙级防火门
1.洞口尺寸：900X2100；
2.开启方式：单扇平开；
3.后塞口、门框灌浆；
4.闭门器、门锁、合页、玻璃等五金配件；
5.制作安装，门扇一次成活</t>
  </si>
  <si>
    <t>01B009</t>
  </si>
  <si>
    <t>名称：TAF(C)D0923 钢质丙级防火门
1.洞口尺寸：900X2300；
2.开启方式：单扇平开；
3.后塞口、门框灌浆；
4.闭门器、门锁、合页、玻璃等五金配件；
5.制作安装，门扇一次成活</t>
  </si>
  <si>
    <t>01B010</t>
  </si>
  <si>
    <t>钢质装饰防火门</t>
  </si>
  <si>
    <t>名称：TAF(C)D0923 (1)钢质丙级防火门（木制面装饰）
1.洞口尺寸：900X2300；
2.开启方式：单扇平开；
3.后塞口、门框灌浆；
4.闭门器、门锁、合页、玻璃等五金配件；
5.制作安装，门扇一次成活</t>
  </si>
  <si>
    <t>01B011</t>
  </si>
  <si>
    <t>名称：MF(A)D1023 钢质甲级防火门
1.洞口尺寸：1000X2300；
2.开启方式：单扇平开；
3.后塞口、门框灌浆；
4.闭门器、门锁、合页、玻璃等五金配件；
5.制作安装，门扇一次成活</t>
  </si>
  <si>
    <t>01B012</t>
  </si>
  <si>
    <t>名称：TAF(C)D1123 钢质丙级防火门
1.洞口尺寸：1100X2300；
2.开启方式：单扇平开；
3.后塞口、门框灌浆；
4.闭门器、门锁、合页、玻璃等五金配件；
5.制作安装，门扇一次成活</t>
  </si>
  <si>
    <t>01B013</t>
  </si>
  <si>
    <t>不锈钢防火门（带观察窗）</t>
  </si>
  <si>
    <t>名称：MF(A)D1223不锈钢甲级防火门（带观察窗）
1.洞口尺寸：1200X2300；
2.开启方式：单扇平开；
3.后塞口、门框灌浆；
4.闭门器、门锁、合页、顺序器、玻璃等五金配件；
5.制作安装，门扇一次成活</t>
  </si>
  <si>
    <t>01B014</t>
  </si>
  <si>
    <t>名称：TAGF(A)D2323.f不锈钢甲级防火门（带观察窗）
1.洞口尺寸：2300X2300；
2.开启方式：双扇平开；
3.后塞口、门框灌浆；
4.闭门器、门锁、合页、顺序器、玻璃等五金配件；
5.制作安装，门扇一次成活</t>
  </si>
  <si>
    <t>01B015</t>
  </si>
  <si>
    <t>名称：MGF(B)D1023不锈钢乙级防火门（带观察窗）
1.洞口尺寸：1000X2300；
2.开启方式：单扇平开；
3.后塞口、门框灌浆；
4.闭门器、门锁、合页、顺序器、玻璃等五金配件；
5.制作安装，门扇一次成活</t>
  </si>
  <si>
    <t>01B016</t>
  </si>
  <si>
    <t>不锈钢防火门</t>
  </si>
  <si>
    <t>名称：MF(A)D1123不锈钢甲级防火门
1.洞口尺寸：1100X2300；
2.开启方式：单扇平开；
3.后塞口、门框灌浆；
4.闭门器、门锁、合页、顺序器、玻璃等五金配件；
5.制作安装，门扇一次成活</t>
  </si>
  <si>
    <t>01B017</t>
  </si>
  <si>
    <t>名称：TAF(B)D10'23不锈钢乙级防火门（带观察窗）
1.洞口尺寸：1030X2300；
2.开启方式：单扇平开；
3.后塞口、门框灌浆；
4.闭门器、门锁、合页、顺序器、玻璃等五金配件；
5.制作安装，门扇一次成活</t>
  </si>
  <si>
    <t>01B018</t>
  </si>
  <si>
    <t>名称：TAF(B)D1123(1)不锈钢乙级防火门（带观察窗）
1.洞口尺寸：1100X2300；
2.开启方式：单扇平开；
3.后塞口、门框灌浆；
4.闭门器、门锁、合页、顺序器、玻璃等五金配件；
5.制作安装，门扇一次成活</t>
  </si>
  <si>
    <t>01B019</t>
  </si>
  <si>
    <t>名称：MGF(B)PD1523不锈钢乙级防火门（带观察窗）
1.洞口尺寸：1500X2300；
2.开启方式：双扇平开；
3.后塞口、门框灌浆；
4.闭门器、门锁、合页、顺序器、玻璃等五金配件；
5.制作安装，门扇一次成活</t>
  </si>
  <si>
    <t>01B020</t>
  </si>
  <si>
    <t>名称：MGF(B)D1523不锈钢乙级防火门（带观察窗）
1.洞口尺寸：1500X2300；
2.开启方式：双扇平开；
3.后塞口、门框灌浆；
4.闭门器、门锁、合页、顺序器、玻璃等五金配件；
5.制作安装，门扇一次成活</t>
  </si>
  <si>
    <t>01B021</t>
  </si>
  <si>
    <t>不锈钢平开门（带观察窗）</t>
  </si>
  <si>
    <t>名称：MD1021不锈钢平开门（带观察窗）
1.洞口尺寸：1000X2100；
2.开启方式：单扇平开；
3.后塞口、门框灌浆；
4.闭门器、门锁、合页、顺序器、玻璃等五金配件；
5.制作安装，门扇一次成活</t>
  </si>
  <si>
    <t>01B022</t>
  </si>
  <si>
    <t>名称：MGD1023不锈钢平开门（带观察窗）
1.洞口尺寸：1000X2300；
2.开启方式：单扇平开；
3.后塞口、门框灌浆；
4.闭门器、门锁、合页、顺序器、玻璃等五金配件；
5.制作安装，门扇一次成活</t>
  </si>
  <si>
    <t>01B023</t>
  </si>
  <si>
    <t>名称：MD1121不锈钢平开门（带观察窗）
1.洞口尺寸：1100X2100；
2.开启方式：单扇平开；
3.后塞口、门框灌浆；
4.闭门器、门锁、合页、顺序器、玻璃等五金配件；
6.制作安装，门扇一次成活</t>
  </si>
  <si>
    <t>01B024</t>
  </si>
  <si>
    <t>名称：MD1123不锈钢平开门（带观察窗）
1.洞口尺寸：1100X2300；
2.开启方式：单扇平开；
3.后塞口、门框灌浆；
4.闭门器、门锁、合页、顺序器、玻璃等五金配件；
7.制作安装，门扇一次成活</t>
  </si>
  <si>
    <t>01B025</t>
  </si>
  <si>
    <t>名称：TAF(B)D1123 钢质乙级防火门（木制面装饰）
1.洞口尺寸：1100X2300；
2.开启方式：单扇平开；
3.后塞口、门框灌浆；
4.闭门器、门锁、合页、玻璃等五金配件；
5.制作安装，门扇一次成活</t>
  </si>
  <si>
    <t>01B026</t>
  </si>
  <si>
    <t>钢制装饰平开门</t>
  </si>
  <si>
    <t>名称：TAPD1123钢制装饰平开门（木制面装饰）
1.洞口尺寸：1100X2300；
2.开启方式：单扇平开；
3.后塞口、门框灌浆；
4.闭门器、门锁、合页、玻璃等五金配件；
5.制作安装，门扇一次成活</t>
  </si>
  <si>
    <t>01B027</t>
  </si>
  <si>
    <t>钢质装饰防火门（带观察窗）</t>
  </si>
  <si>
    <t>名称：TGAF(B)D1423.e.t钢质乙级防火门（带观察窗）（木制面装饰）
1.洞口尺寸：1400X2300；
2.开启方式：双扇平开；
3.后塞口、门框灌浆；
4.闭门器、门锁、合页、玻璃等五金配件；
5.制作安装，门扇一次成活</t>
  </si>
  <si>
    <t>01B028</t>
  </si>
  <si>
    <t>名称：TAGF(B)D1423.e.t钢质乙级防火门（带观察窗）（木制面装饰）
1.洞口尺寸：1400X2300；
2.开启方式：双扇平开；
3.后塞口、门框灌浆；
4.闭门器、门锁、合页、玻璃等五金配件；
5.制作安装，门扇一次成活</t>
  </si>
  <si>
    <t>01B029</t>
  </si>
  <si>
    <t>名称：TGAF(B)D1423.t钢质乙级防火门（带观察窗）（木制面装饰）
1.洞口尺寸：1400X2300；
2.开启方式：双扇平开；
3.后塞口、门框灌浆；
4.闭门器、门锁、合页、玻璃等五金配件；
5.制作安装，门扇一次成活</t>
  </si>
  <si>
    <t>01B030</t>
  </si>
  <si>
    <t>名称：TAF(B)PD1523 钢质乙级防火门（木制面装饰）
1.洞口尺寸：1500X2300；
2.开启方式：双扇平开；
3.后塞口、门框灌浆；
4.闭门器、门锁、合页、玻璃等五金配件；
5.制作安装，门扇一次成活</t>
  </si>
  <si>
    <t>01B031</t>
  </si>
  <si>
    <t>名称：TAGF(B)D15'23.f 钢质乙级防火门（带观察窗）（木制面装饰）
1.洞口尺寸：1570X2300；
2.开启方式：双扇平开；
3.后塞口、门框灌浆；
4.闭门器、门锁、合页、玻璃等五金配件；
5.制作安装，门扇一次成活</t>
  </si>
  <si>
    <t>01B032</t>
  </si>
  <si>
    <t>名称：TAGF(A)D15'23.f 钢制装饰甲级防火门(带观察窗)（木饰面装饰）
1.洞口尺寸：1570X2300；
2.开启方式：双扇平开；
3.后塞口、门框灌浆；
4.闭门器、门锁、合页、顺序器、玻璃等五金配件；
5.制作安装，门扇一次成活</t>
  </si>
  <si>
    <t>01B033</t>
  </si>
  <si>
    <t>钢制防火门(带观察窗)</t>
  </si>
  <si>
    <t>名称：MGF(B)D1423.t 钢质乙级防火门(带观察窗)
1.洞口尺寸：1400X2300；
2.开启方式：双扇平开；
3.后塞口、门框灌浆；
4.闭门器、门锁、合页、顺序器、玻璃等五金配件；
5.制作安装，门扇一次成活</t>
  </si>
  <si>
    <t>01B034</t>
  </si>
  <si>
    <t>名称：TGAF(B)D1423.e.t(1)钢质乙级防火门（带观察窗）
1.洞口尺寸：1400X2300；
2.开启方式：双扇平开；
3.后塞口、门框灌浆；
4.闭门器、门锁、合页、玻璃等五金配件；
5.制作安装，门扇一次成活</t>
  </si>
  <si>
    <t>01B035</t>
  </si>
  <si>
    <t>名称：TGAF(B)D1523.t钢制乙级防火门(带观察窗)
1.洞口尺寸：1500X2300；
2.开启方式：双扇平开；
3.后塞口、门框灌浆；
4.闭门器、门锁、合页、顺序器、玻璃等五金配件；
5.制作安装，门扇一次成活</t>
  </si>
  <si>
    <t>01B036</t>
  </si>
  <si>
    <t>名称：TAF(B)D1123(2)钢质乙级防火门
1.洞口尺寸：1100X2300；
2.开启方式：单扇平开；
3.后塞口、门框灌浆；
4.闭门器、门锁、合页、玻璃等五金配件；
5.制作安装，门扇一次成活</t>
  </si>
  <si>
    <t>01B037</t>
  </si>
  <si>
    <t>钢质平开门</t>
  </si>
  <si>
    <t>名称：TAD1123 钢制平开门
1.洞口尺寸：1100X2300；
2.开启方式：单扇平开；
3.后塞口、门框灌浆；
4.闭门器、门锁、合页、玻璃等五金配件；
5.制作安装，门扇一次成活</t>
  </si>
  <si>
    <t>01B038</t>
  </si>
  <si>
    <t>名称：TGAF(B)D1523.e.t钢制乙级防火门
1.洞口尺寸：1500X2300；
2.开启方式：双扇平开；
3.后塞口、门框灌浆；
4.闭门器、门锁、合页、顺序器、玻璃等五金配件；
5.制作安装，门扇一次成活</t>
  </si>
  <si>
    <t>01B039</t>
  </si>
  <si>
    <t>钢制装饰防火门</t>
  </si>
  <si>
    <t>名称：TAF(B)D1023(1)钢质乙级防火门（木制面装饰）
1.洞口尺寸：1000X2300；
2.开启方式：单扇平开；
3.后塞口、门框灌浆；
4.闭门器、门锁、合页、玻璃等五金配件；
5.制作安装，门扇一次成活</t>
  </si>
  <si>
    <t>01B040</t>
  </si>
  <si>
    <t>名称：TAF(B)D1024' 钢质乙级防火门（木制面装饰）超大
1.洞口尺寸：1000X2450；
2.开启方式：单扇平开；
3.后塞口、门框灌浆；
4.闭门器、门锁、合页、玻璃等五金配件；
5.制作安装，门扇一次成活</t>
  </si>
  <si>
    <t>01B041</t>
  </si>
  <si>
    <t>名称：TAF(B)D10'24'钢质乙级防火门（木制面装饰）超大
1.洞口尺寸：1050X2450；
2.开启方式：单扇平开；
3.后塞口、门框灌浆；
4.闭门器、门锁、合页、玻璃等五金配件；
5.制作安装，门扇一次成活</t>
  </si>
  <si>
    <t>01B042</t>
  </si>
  <si>
    <t>名称：TAF(B)D1523 钢质乙级防火门
1.洞口尺寸：1500X2300；
2.开启方式：双扇平开；
3.后塞口、门框灌浆；
4.闭门器、门锁、合页、玻璃等五金配件；
5.制作安装，门扇一次成活</t>
  </si>
  <si>
    <t>01B043</t>
  </si>
  <si>
    <t>名称：TAGF(B)D1823 钢质乙级防火门（木制面装饰）
1.洞口尺寸：1800X2300；
2.开启方式：双扇平开；
3.后塞口、门框灌浆；
4.闭门器、门锁、合页、玻璃等五金配件；
5.制作安装，门扇一次成活</t>
  </si>
  <si>
    <t>01B044</t>
  </si>
  <si>
    <t>钢质保温门</t>
  </si>
  <si>
    <t>01B045</t>
  </si>
  <si>
    <t>01B046</t>
  </si>
  <si>
    <t>名称：TAF(A)D2124.e钢制装饰甲级防火门（木饰面装饰）
1.洞口尺寸：2100X2400；
2.开启方式：双扇平开；
3.后塞口、门框灌浆；
4.闭门器、门锁、合页、顺序器、玻璃等五金配件；
5.制作安装，门扇一次成活</t>
  </si>
  <si>
    <t>01B047</t>
  </si>
  <si>
    <t>名称：TAF(A)D1824 钢制装饰甲级防火门（木饰面装饰）
1.洞口尺寸：1800X2400；
2.开启方式：双扇平开；
3.后塞口、门框灌浆；
4.闭门器、门锁、合页、顺序器、玻璃等五金配件；
5.制作安装，门扇一次成活</t>
  </si>
  <si>
    <t>01B048</t>
  </si>
  <si>
    <t>名称：TAF(A)D2831'.f 钢质甲级防火门（超大）
1.洞口尺寸：2800X3130；
2.开启方式：双扇平开；
3.后塞口、门框灌浆；
4.闭门器、门锁、合页、玻璃等五金配件；
5.制作安装，门扇一次成活</t>
  </si>
  <si>
    <t>01B049</t>
  </si>
  <si>
    <t>名称：MGF(B)PD1123不锈钢乙级防火门（带观察窗）
1.洞口尺寸：1100X2300；
2.开启方式：双扇平开；
3.后塞口、门框灌浆；
4.闭门器、门锁、合页、玻璃等五金配件；
5.制作安装，门扇一次成活</t>
  </si>
  <si>
    <t>01B050</t>
  </si>
  <si>
    <t>名称：TAF(B)D1023(1) 钢质乙级防火门
1.洞口尺寸：1O00X2300；
2.开启方式：单扇平开；
3.后塞口、门框灌浆；
4.闭门器、门锁、合页、玻璃等五金配件；
5.制作安装，门扇一次成活</t>
  </si>
  <si>
    <t>01B051</t>
  </si>
  <si>
    <t>名称：TAF(C)D1023(1)钢质丙级防火门
1.洞口尺寸：1O00X2300；
2.开启方式：单扇平开；
3.后塞口、门框灌浆；
4.闭门器、门锁、合页、玻璃等五金配件；
5.制作安装，门扇一次成活</t>
  </si>
  <si>
    <t>·</t>
  </si>
  <si>
    <t>北京城市副中心1202街FZX-1202-0001地块F3其他类多功能用地项目</t>
  </si>
  <si>
    <t>门窗工程</t>
  </si>
  <si>
    <t>位置</t>
  </si>
  <si>
    <t>数量（樘）</t>
  </si>
  <si>
    <t>MF(C)ID1023</t>
  </si>
  <si>
    <t>地上1层</t>
  </si>
  <si>
    <t xml:space="preserve"> </t>
  </si>
  <si>
    <t>地上2层</t>
  </si>
  <si>
    <t>地上3层</t>
  </si>
  <si>
    <t>地上4层</t>
  </si>
  <si>
    <t>地上5层</t>
  </si>
  <si>
    <t>地上6层</t>
  </si>
  <si>
    <t>地上7层</t>
  </si>
  <si>
    <t>地上8层</t>
  </si>
  <si>
    <t>地上9层</t>
  </si>
  <si>
    <t>地上10层</t>
  </si>
  <si>
    <t>地上11层</t>
  </si>
  <si>
    <t>机房层</t>
  </si>
  <si>
    <t>MF(A)ID1023</t>
  </si>
  <si>
    <t>MF(A)ID1423</t>
  </si>
  <si>
    <t>MF(A)ID1523</t>
  </si>
  <si>
    <t>TAF(A)D1523</t>
  </si>
  <si>
    <t>MF(A)PD1523</t>
  </si>
  <si>
    <t>MF(C)D0621</t>
  </si>
  <si>
    <t>MF(C)D0921</t>
  </si>
  <si>
    <t>TAF(C)D0923</t>
  </si>
  <si>
    <t>TAF(C)D0923(1)</t>
  </si>
  <si>
    <t>MF(A)D1023</t>
  </si>
  <si>
    <t>TAF(C)D1123</t>
  </si>
  <si>
    <t>MF(A)D1223</t>
  </si>
  <si>
    <t>TAGF(A)D2323.f</t>
  </si>
  <si>
    <t>MGF(B)D1023</t>
  </si>
  <si>
    <t>MF(A)D1123</t>
  </si>
  <si>
    <t>TAF(B)D10'23</t>
  </si>
  <si>
    <t>TAF(B)D1123(1)</t>
  </si>
  <si>
    <t>MGF(B)PD1523</t>
  </si>
  <si>
    <t>MGF(B)D1523</t>
  </si>
  <si>
    <t>MD1021</t>
  </si>
  <si>
    <t>MGD1023</t>
  </si>
  <si>
    <t>MD1121</t>
  </si>
  <si>
    <t>MD1123</t>
  </si>
  <si>
    <t>TAF(B)D1123</t>
  </si>
  <si>
    <t>TAPD1123</t>
  </si>
  <si>
    <t>TGAF(B)D1423.e.t</t>
  </si>
  <si>
    <t>TAGF(B)D1423.e.t</t>
  </si>
  <si>
    <t>TAF(B)PD1523</t>
  </si>
  <si>
    <t>TAGF(B)D15'23.f</t>
  </si>
  <si>
    <t>TAGF(A)D15'23.f</t>
  </si>
  <si>
    <t>MGF(B)D1423.t</t>
  </si>
  <si>
    <t>TGAF(B)D1423.e.t(1)</t>
  </si>
  <si>
    <t>TGAF(B)D1523.t</t>
  </si>
  <si>
    <t>TAF(B)D1123(2)</t>
  </si>
  <si>
    <t>TAD1123</t>
  </si>
  <si>
    <t>TGAF(B)D1523.e.t</t>
  </si>
  <si>
    <t>TAF(B)D1024'</t>
  </si>
  <si>
    <t>TAF(B)D10'24'</t>
  </si>
  <si>
    <t>TAF(B)D1523</t>
  </si>
  <si>
    <t>TAGF(B)D1823</t>
  </si>
  <si>
    <t>MGID1423.e.t</t>
  </si>
  <si>
    <t>MGID1223</t>
  </si>
  <si>
    <t>TAF(A)D2124.e</t>
  </si>
  <si>
    <t>TAF(A)D1824</t>
  </si>
  <si>
    <t xml:space="preserve">TAF(A)D2831'.f </t>
  </si>
  <si>
    <t>MGF(B)PD1123</t>
  </si>
  <si>
    <t>TAF(B)D1023(1)</t>
  </si>
  <si>
    <t>TAF(C)D1023(1)</t>
  </si>
  <si>
    <t>010402001001</t>
  </si>
  <si>
    <t>1#楼首层4-5轴交C-B轴</t>
  </si>
  <si>
    <t>砌块墙</t>
  </si>
  <si>
    <t>m3</t>
  </si>
  <si>
    <t>体积</t>
  </si>
  <si>
    <t>墙</t>
  </si>
  <si>
    <t>1#</t>
  </si>
  <si>
    <t>2#</t>
  </si>
  <si>
    <t>门口</t>
  </si>
  <si>
    <t>混凝土坎台</t>
  </si>
  <si>
    <t>m2</t>
  </si>
  <si>
    <t>体积（m³）</t>
  </si>
  <si>
    <t>坎台</t>
  </si>
  <si>
    <t>010502002001</t>
  </si>
  <si>
    <t>构造柱混凝土（C25)</t>
  </si>
  <si>
    <t>㎡</t>
  </si>
  <si>
    <t>构造柱砼</t>
  </si>
  <si>
    <t>二</t>
  </si>
  <si>
    <t>抱框</t>
  </si>
  <si>
    <t>010503005001</t>
  </si>
  <si>
    <t>过梁混凝土（C25)</t>
  </si>
  <si>
    <t>门过梁</t>
  </si>
  <si>
    <t>010503004001</t>
  </si>
  <si>
    <t>圈梁混凝土（C25)</t>
  </si>
  <si>
    <t>圈梁</t>
  </si>
  <si>
    <t>坎台模板</t>
  </si>
  <si>
    <t>面积</t>
  </si>
  <si>
    <t>011702003001</t>
  </si>
  <si>
    <t>构造柱模板</t>
  </si>
  <si>
    <t>面</t>
  </si>
  <si>
    <t>面积（㎡）</t>
  </si>
  <si>
    <t>构造柱</t>
  </si>
  <si>
    <t>抱框柱</t>
  </si>
  <si>
    <t>011702009001</t>
  </si>
  <si>
    <t>过梁模板</t>
  </si>
  <si>
    <t>过梁</t>
  </si>
  <si>
    <t>圈梁模板</t>
  </si>
  <si>
    <t>系梁</t>
  </si>
  <si>
    <t>010515001001</t>
  </si>
  <si>
    <t>二次结构砌体钢筋</t>
  </si>
  <si>
    <t>t</t>
  </si>
  <si>
    <t>数量（根）</t>
  </si>
  <si>
    <t>构件数量（个）</t>
  </si>
  <si>
    <t>一、</t>
  </si>
  <si>
    <t>墙体墙压筋</t>
  </si>
  <si>
    <r>
      <rPr>
        <sz val="10"/>
        <color theme="1"/>
        <rFont val="宋体"/>
        <family val="3"/>
        <charset val="134"/>
        <scheme val="minor"/>
      </rPr>
      <t>钢筋HRB400E</t>
    </r>
    <r>
      <rPr>
        <sz val="10"/>
        <color theme="1"/>
        <rFont val="Calibri"/>
        <family val="2"/>
      </rPr>
      <t>φ</t>
    </r>
    <r>
      <rPr>
        <sz val="10"/>
        <color theme="1"/>
        <rFont val="宋体"/>
        <family val="3"/>
        <charset val="134"/>
        <scheme val="minor"/>
      </rPr>
      <t>6.5</t>
    </r>
  </si>
  <si>
    <t>010515001005</t>
  </si>
  <si>
    <t>钢筋10以内</t>
  </si>
  <si>
    <t>二、</t>
  </si>
  <si>
    <t>板带钢筋</t>
  </si>
  <si>
    <r>
      <rPr>
        <sz val="10"/>
        <color theme="1"/>
        <rFont val="宋体"/>
        <family val="3"/>
        <charset val="134"/>
        <scheme val="minor"/>
      </rPr>
      <t>钢筋HRB400E</t>
    </r>
    <r>
      <rPr>
        <sz val="10"/>
        <color theme="1"/>
        <rFont val="Calibri"/>
        <family val="2"/>
      </rPr>
      <t>φ</t>
    </r>
    <r>
      <rPr>
        <sz val="10"/>
        <color theme="1"/>
        <rFont val="宋体"/>
        <family val="3"/>
        <charset val="134"/>
        <scheme val="minor"/>
      </rPr>
      <t>10</t>
    </r>
  </si>
  <si>
    <t>三、</t>
  </si>
  <si>
    <t>箍筋</t>
  </si>
  <si>
    <t>四、</t>
  </si>
  <si>
    <t>010515001006</t>
  </si>
  <si>
    <t>钢筋12</t>
  </si>
  <si>
    <t>柱</t>
  </si>
  <si>
    <t>钢筋HRB400Eφ12</t>
  </si>
  <si>
    <t>构造柱植筋</t>
  </si>
  <si>
    <t>根</t>
  </si>
  <si>
    <t>根数</t>
  </si>
  <si>
    <t>构件数量（根）</t>
  </si>
  <si>
    <t>总量（根）</t>
  </si>
  <si>
    <t>柱植筋</t>
  </si>
  <si>
    <t>抱框柱植筋</t>
  </si>
  <si>
    <t>拆除砌块墙</t>
  </si>
  <si>
    <t>拆除钢筋混凝土</t>
  </si>
  <si>
    <t>三</t>
  </si>
  <si>
    <t>四</t>
  </si>
  <si>
    <t>垃圾消纳</t>
  </si>
  <si>
    <t>五</t>
  </si>
  <si>
    <t>吨</t>
  </si>
  <si>
    <r>
      <rPr>
        <sz val="10"/>
        <color theme="1"/>
        <rFont val="宋体"/>
        <family val="3"/>
        <charset val="134"/>
        <scheme val="minor"/>
      </rPr>
      <t>钢筋HRB400E</t>
    </r>
    <r>
      <rPr>
        <sz val="10"/>
        <color theme="1"/>
        <rFont val="Calibri"/>
        <family val="2"/>
      </rPr>
      <t>φ</t>
    </r>
    <r>
      <rPr>
        <sz val="10"/>
        <color theme="1"/>
        <rFont val="宋体"/>
        <family val="3"/>
        <charset val="134"/>
        <scheme val="minor"/>
      </rPr>
      <t>10</t>
    </r>
  </si>
  <si>
    <r>
      <rPr>
        <sz val="10"/>
        <rFont val="宋体"/>
        <family val="3"/>
        <charset val="134"/>
        <scheme val="minor"/>
      </rPr>
      <t>柱加大截面HRB400E</t>
    </r>
    <r>
      <rPr>
        <sz val="10"/>
        <rFont val="Calibri"/>
        <family val="2"/>
      </rPr>
      <t>φ</t>
    </r>
    <r>
      <rPr>
        <sz val="10"/>
        <rFont val="宋体"/>
        <family val="3"/>
        <charset val="134"/>
        <scheme val="minor"/>
      </rPr>
      <t>10</t>
    </r>
  </si>
  <si>
    <r>
      <rPr>
        <sz val="10"/>
        <rFont val="宋体"/>
        <family val="3"/>
        <charset val="134"/>
        <scheme val="minor"/>
      </rPr>
      <t>新增粱HRB400E</t>
    </r>
    <r>
      <rPr>
        <sz val="10"/>
        <rFont val="Calibri"/>
        <family val="2"/>
      </rPr>
      <t>φ</t>
    </r>
    <r>
      <rPr>
        <sz val="10"/>
        <rFont val="宋体"/>
        <family val="3"/>
        <charset val="134"/>
        <scheme val="minor"/>
      </rPr>
      <t>10</t>
    </r>
  </si>
  <si>
    <r>
      <rPr>
        <sz val="10"/>
        <rFont val="宋体"/>
        <family val="3"/>
        <charset val="134"/>
        <scheme val="minor"/>
      </rPr>
      <t>新增剪力墙HRB400E</t>
    </r>
    <r>
      <rPr>
        <sz val="10"/>
        <rFont val="Calibri"/>
        <family val="2"/>
      </rPr>
      <t>φ6</t>
    </r>
  </si>
  <si>
    <t>剪力墙、新增粱焊接连接</t>
  </si>
  <si>
    <t>个</t>
  </si>
  <si>
    <t>焊接连接点</t>
  </si>
  <si>
    <r>
      <rPr>
        <sz val="10"/>
        <rFont val="宋体"/>
        <family val="3"/>
        <charset val="134"/>
        <scheme val="minor"/>
      </rPr>
      <t>新增剪力墙</t>
    </r>
    <r>
      <rPr>
        <sz val="10"/>
        <rFont val="Calibri"/>
        <family val="2"/>
      </rPr>
      <t>φ</t>
    </r>
    <r>
      <rPr>
        <sz val="10"/>
        <rFont val="宋体"/>
        <family val="3"/>
        <charset val="134"/>
        <scheme val="minor"/>
      </rPr>
      <t>12</t>
    </r>
  </si>
  <si>
    <r>
      <rPr>
        <sz val="10"/>
        <rFont val="宋体"/>
        <family val="3"/>
        <charset val="134"/>
        <scheme val="minor"/>
      </rPr>
      <t>新增剪力墙</t>
    </r>
    <r>
      <rPr>
        <sz val="10"/>
        <rFont val="Calibri"/>
        <family val="2"/>
      </rPr>
      <t>φ</t>
    </r>
    <r>
      <rPr>
        <sz val="10"/>
        <rFont val="宋体"/>
        <family val="3"/>
        <charset val="134"/>
        <scheme val="minor"/>
      </rPr>
      <t>14</t>
    </r>
  </si>
  <si>
    <r>
      <rPr>
        <sz val="10"/>
        <rFont val="宋体"/>
        <family val="3"/>
        <charset val="134"/>
        <scheme val="minor"/>
      </rPr>
      <t>新增粱</t>
    </r>
    <r>
      <rPr>
        <sz val="10"/>
        <rFont val="Calibri"/>
        <family val="2"/>
      </rPr>
      <t>φ</t>
    </r>
    <r>
      <rPr>
        <sz val="10"/>
        <rFont val="宋体"/>
        <family val="3"/>
        <charset val="134"/>
        <scheme val="minor"/>
      </rPr>
      <t>10</t>
    </r>
  </si>
  <si>
    <r>
      <rPr>
        <sz val="10"/>
        <rFont val="宋体"/>
        <family val="3"/>
        <charset val="134"/>
        <scheme val="minor"/>
      </rPr>
      <t>新增粱</t>
    </r>
    <r>
      <rPr>
        <sz val="10"/>
        <rFont val="Calibri"/>
        <family val="2"/>
      </rPr>
      <t>φ</t>
    </r>
    <r>
      <rPr>
        <sz val="10"/>
        <rFont val="宋体"/>
        <family val="3"/>
        <charset val="134"/>
        <scheme val="minor"/>
      </rPr>
      <t>16-20</t>
    </r>
  </si>
  <si>
    <t>框架柱加大、剪力墙、新增粱</t>
  </si>
  <si>
    <t>m³</t>
  </si>
  <si>
    <t>数量（m³）</t>
  </si>
  <si>
    <t>灌浆料灌注</t>
  </si>
  <si>
    <t>碳纤维布加固</t>
  </si>
  <si>
    <t>梁长m</t>
  </si>
  <si>
    <t>粱宽m</t>
  </si>
  <si>
    <t>粱高m</t>
  </si>
  <si>
    <t>碳纤维加固</t>
  </si>
  <si>
    <t>JG-KL1</t>
  </si>
  <si>
    <t>JG-KL2</t>
  </si>
  <si>
    <t>穿筋开洞</t>
  </si>
  <si>
    <t>JGKZ2穿孔钢筋直径20</t>
  </si>
  <si>
    <t>JGKZ2等代穿梁</t>
  </si>
  <si>
    <r>
      <rPr>
        <sz val="10"/>
        <rFont val="Times New Roman"/>
        <family val="1"/>
      </rPr>
      <t>L3</t>
    </r>
    <r>
      <rPr>
        <sz val="10"/>
        <rFont val="宋体"/>
        <family val="3"/>
        <charset val="134"/>
      </rPr>
      <t>新增粱穿孔钢筋直径10</t>
    </r>
  </si>
  <si>
    <t>柱截面增大、新增粱、剪力墙</t>
  </si>
  <si>
    <t>截面</t>
  </si>
  <si>
    <t>框架柱模板</t>
  </si>
  <si>
    <t>JG-KZ1</t>
  </si>
  <si>
    <t>JG-KZ2</t>
  </si>
  <si>
    <t>新增框架梁</t>
  </si>
  <si>
    <t>新增粱L3</t>
  </si>
  <si>
    <t>新增剪力墙</t>
  </si>
  <si>
    <r>
      <rPr>
        <sz val="10"/>
        <rFont val="宋体"/>
        <family val="3"/>
        <charset val="134"/>
      </rPr>
      <t>新增剪力墙</t>
    </r>
    <r>
      <rPr>
        <sz val="10"/>
        <rFont val="Times New Roman"/>
        <family val="1"/>
      </rPr>
      <t>Q-01</t>
    </r>
  </si>
  <si>
    <t>名称：MGID1423.e.t 钢制保温门（带观察窗）
1.洞口尺寸：1400X2300；
2.开启方式：双扇平开；
3.后塞口、门框灌浆；
4.闭门器、门锁、合页、玻璃等五金配件；
5.制作安装，门扇一次成活</t>
    <phoneticPr fontId="18" type="noConversion"/>
  </si>
  <si>
    <t>名称： MGID1223 钢制保温门（带观察窗）
1.洞口尺寸：1200X2300；
2.开启方式：单扇平开；
3.后塞口、门框灌浆；
4.闭门器、门锁、合页、玻璃等五金配件；
5.制作安装，门扇一次成活</t>
    <phoneticPr fontId="18" type="noConversion"/>
  </si>
  <si>
    <t>钢质保温门（带观察窗）</t>
    <phoneticPr fontId="18" type="noConversion"/>
  </si>
  <si>
    <t>钢制保温门（带观察窗）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</si>
</sst>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0"/>
    <numFmt numFmtId="177" formatCode="#,##0.00_ "/>
  </numFmts>
  <fonts count="30" x14ac:knownFonts="1">
    <font>
      <sz val="11"/>
      <color theme="1"/>
      <name val="宋体"/>
      <charset val="134"/>
      <scheme val="minor"/>
    </font>
    <font>
      <sz val="10"/>
      <name val="Times New Roman"/>
      <family val="1"/>
    </font>
    <font>
      <sz val="11"/>
      <color theme="1"/>
      <name val="Times New Roman"/>
      <family val="1"/>
    </font>
    <font>
      <b/>
      <sz val="16"/>
      <name val="Times New Roman"/>
      <family val="1"/>
    </font>
    <font>
      <sz val="1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8"/>
      <name val="宋体"/>
      <family val="3"/>
      <charset val="134"/>
      <scheme val="minor"/>
    </font>
    <font>
      <sz val="9"/>
      <color theme="1"/>
      <name val="宋体"/>
      <family val="3"/>
      <charset val="134"/>
      <scheme val="minor"/>
    </font>
    <font>
      <b/>
      <sz val="9"/>
      <color theme="1"/>
      <name val="宋体"/>
      <family val="3"/>
      <charset val="134"/>
      <scheme val="minor"/>
    </font>
    <font>
      <b/>
      <sz val="9"/>
      <color rgb="FFFF0000"/>
      <name val="宋体"/>
      <family val="3"/>
      <charset val="134"/>
      <scheme val="minor"/>
    </font>
    <font>
      <sz val="16"/>
      <name val="黑体"/>
      <family val="3"/>
      <charset val="134"/>
    </font>
    <font>
      <b/>
      <sz val="16"/>
      <color rgb="FFFF0000"/>
      <name val="黑体"/>
      <family val="3"/>
      <charset val="134"/>
    </font>
    <font>
      <sz val="9"/>
      <name val="宋体"/>
      <family val="3"/>
      <charset val="134"/>
    </font>
    <font>
      <b/>
      <sz val="9"/>
      <color rgb="FFFF0000"/>
      <name val="宋体"/>
      <family val="3"/>
      <charset val="134"/>
    </font>
    <font>
      <b/>
      <sz val="9"/>
      <name val="宋体"/>
      <family val="3"/>
      <charset val="134"/>
      <scheme val="minor"/>
    </font>
    <font>
      <b/>
      <sz val="9"/>
      <color rgb="FF7030A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0000"/>
      <name val="黑体"/>
      <family val="3"/>
      <charset val="134"/>
    </font>
    <font>
      <sz val="9"/>
      <color rgb="FF7030A0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b/>
      <sz val="9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u/>
      <sz val="16"/>
      <name val="Times New Roman"/>
      <family val="1"/>
    </font>
    <font>
      <b/>
      <u/>
      <sz val="16"/>
      <name val="宋体"/>
      <family val="3"/>
      <charset val="134"/>
    </font>
    <font>
      <b/>
      <sz val="16"/>
      <name val="宋体"/>
      <family val="3"/>
      <charset val="134"/>
    </font>
    <font>
      <sz val="10"/>
      <name val="Calibri"/>
      <family val="2"/>
    </font>
    <font>
      <sz val="10"/>
      <color theme="1"/>
      <name val="Calibri"/>
      <family val="2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4">
    <xf numFmtId="0" fontId="0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9" fillId="0" borderId="0"/>
  </cellStyleXfs>
  <cellXfs count="145">
    <xf numFmtId="0" fontId="0" fillId="0" borderId="0" xfId="0">
      <alignment vertical="center"/>
    </xf>
    <xf numFmtId="0" fontId="1" fillId="0" borderId="0" xfId="1" applyFont="1">
      <alignment vertical="center"/>
    </xf>
    <xf numFmtId="0" fontId="1" fillId="0" borderId="0" xfId="1" applyFont="1" applyAlignment="1">
      <alignment horizontal="center" vertical="center"/>
    </xf>
    <xf numFmtId="0" fontId="2" fillId="0" borderId="0" xfId="1" applyFont="1">
      <alignment vertical="center"/>
    </xf>
    <xf numFmtId="0" fontId="4" fillId="0" borderId="1" xfId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5" fillId="0" borderId="13" xfId="2" applyFont="1" applyBorder="1" applyAlignment="1">
      <alignment horizontal="center" vertical="center"/>
    </xf>
    <xf numFmtId="0" fontId="5" fillId="0" borderId="6" xfId="2" applyFont="1" applyBorder="1" applyAlignment="1">
      <alignment horizontal="center" vertical="center"/>
    </xf>
    <xf numFmtId="0" fontId="5" fillId="0" borderId="8" xfId="2" applyFont="1" applyBorder="1" applyAlignment="1">
      <alignment horizontal="center" vertical="center" wrapText="1"/>
    </xf>
    <xf numFmtId="0" fontId="5" fillId="0" borderId="9" xfId="2" applyFont="1" applyBorder="1" applyAlignment="1">
      <alignment horizontal="center" vertical="center"/>
    </xf>
    <xf numFmtId="176" fontId="5" fillId="0" borderId="13" xfId="2" applyNumberFormat="1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 wrapText="1"/>
    </xf>
    <xf numFmtId="0" fontId="1" fillId="0" borderId="9" xfId="1" applyFont="1" applyBorder="1">
      <alignment vertical="center"/>
    </xf>
    <xf numFmtId="2" fontId="4" fillId="0" borderId="9" xfId="1" applyNumberFormat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 wrapText="1"/>
    </xf>
    <xf numFmtId="176" fontId="4" fillId="0" borderId="9" xfId="1" applyNumberFormat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3" xfId="1" applyFont="1" applyBorder="1" applyAlignment="1">
      <alignment horizontal="center" vertical="center"/>
    </xf>
    <xf numFmtId="0" fontId="1" fillId="0" borderId="13" xfId="1" applyFont="1" applyBorder="1">
      <alignment vertical="center"/>
    </xf>
    <xf numFmtId="0" fontId="1" fillId="0" borderId="6" xfId="1" applyFont="1" applyBorder="1">
      <alignment vertical="center"/>
    </xf>
    <xf numFmtId="0" fontId="1" fillId="0" borderId="8" xfId="1" applyFont="1" applyBorder="1">
      <alignment vertical="center"/>
    </xf>
    <xf numFmtId="0" fontId="5" fillId="0" borderId="17" xfId="2" applyFont="1" applyBorder="1" applyAlignment="1">
      <alignment horizontal="center" vertical="center"/>
    </xf>
    <xf numFmtId="0" fontId="5" fillId="0" borderId="18" xfId="2" applyFont="1" applyBorder="1" applyAlignment="1">
      <alignment horizontal="center" vertical="center"/>
    </xf>
    <xf numFmtId="0" fontId="5" fillId="0" borderId="19" xfId="2" applyFont="1" applyBorder="1" applyAlignment="1">
      <alignment horizontal="center" vertical="center"/>
    </xf>
    <xf numFmtId="2" fontId="5" fillId="0" borderId="20" xfId="2" applyNumberFormat="1" applyFont="1" applyBorder="1" applyAlignment="1">
      <alignment horizontal="center" vertical="center"/>
    </xf>
    <xf numFmtId="2" fontId="4" fillId="0" borderId="13" xfId="1" applyNumberFormat="1" applyFont="1" applyBorder="1" applyAlignment="1">
      <alignment horizontal="center" vertical="center"/>
    </xf>
    <xf numFmtId="176" fontId="4" fillId="0" borderId="13" xfId="1" applyNumberFormat="1" applyFont="1" applyBorder="1" applyAlignment="1">
      <alignment horizontal="center" vertical="center"/>
    </xf>
    <xf numFmtId="176" fontId="1" fillId="0" borderId="13" xfId="1" applyNumberFormat="1" applyFont="1" applyBorder="1">
      <alignment vertical="center"/>
    </xf>
    <xf numFmtId="176" fontId="5" fillId="0" borderId="20" xfId="2" applyNumberFormat="1" applyFont="1" applyBorder="1" applyAlignment="1">
      <alignment horizontal="center" vertical="center"/>
    </xf>
    <xf numFmtId="0" fontId="5" fillId="0" borderId="8" xfId="2" applyFont="1" applyBorder="1" applyAlignment="1">
      <alignment horizontal="center" vertical="center"/>
    </xf>
    <xf numFmtId="0" fontId="0" fillId="0" borderId="9" xfId="0" applyBorder="1">
      <alignment vertical="center"/>
    </xf>
    <xf numFmtId="0" fontId="5" fillId="0" borderId="20" xfId="2" applyFont="1" applyBorder="1" applyAlignment="1">
      <alignment horizontal="center" vertical="center"/>
    </xf>
    <xf numFmtId="0" fontId="1" fillId="0" borderId="6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5" fillId="0" borderId="13" xfId="2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6" fillId="0" borderId="0" xfId="1" applyFont="1">
      <alignment vertical="center"/>
    </xf>
    <xf numFmtId="0" fontId="0" fillId="0" borderId="0" xfId="0" applyAlignment="1">
      <alignment horizontal="center" vertical="center"/>
    </xf>
    <xf numFmtId="0" fontId="5" fillId="0" borderId="8" xfId="2" applyFont="1" applyBorder="1" applyAlignment="1">
      <alignment horizontal="left" vertical="center"/>
    </xf>
    <xf numFmtId="0" fontId="9" fillId="0" borderId="0" xfId="3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vertical="center"/>
    </xf>
    <xf numFmtId="0" fontId="11" fillId="0" borderId="0" xfId="3" applyFont="1"/>
    <xf numFmtId="0" fontId="14" fillId="0" borderId="0" xfId="3" applyFont="1" applyAlignment="1">
      <alignment vertical="center" wrapText="1"/>
    </xf>
    <xf numFmtId="0" fontId="15" fillId="0" borderId="0" xfId="3" applyFont="1" applyAlignment="1">
      <alignment vertical="center" wrapText="1"/>
    </xf>
    <xf numFmtId="0" fontId="16" fillId="0" borderId="6" xfId="3" applyFont="1" applyBorder="1" applyAlignment="1">
      <alignment horizontal="center" vertical="center"/>
    </xf>
    <xf numFmtId="0" fontId="16" fillId="0" borderId="9" xfId="3" applyFont="1" applyBorder="1" applyAlignment="1">
      <alignment horizontal="center" vertical="center"/>
    </xf>
    <xf numFmtId="0" fontId="16" fillId="0" borderId="9" xfId="3" applyFont="1" applyBorder="1" applyAlignment="1">
      <alignment horizontal="center" vertical="center" wrapText="1"/>
    </xf>
    <xf numFmtId="0" fontId="11" fillId="0" borderId="9" xfId="3" applyFont="1" applyBorder="1" applyAlignment="1">
      <alignment horizontal="center" vertical="center"/>
    </xf>
    <xf numFmtId="0" fontId="17" fillId="0" borderId="9" xfId="3" applyFont="1" applyBorder="1" applyAlignment="1">
      <alignment horizontal="center" vertical="center"/>
    </xf>
    <xf numFmtId="0" fontId="18" fillId="0" borderId="6" xfId="3" applyFont="1" applyBorder="1" applyAlignment="1">
      <alignment horizontal="center" vertical="center"/>
    </xf>
    <xf numFmtId="0" fontId="18" fillId="0" borderId="9" xfId="3" applyFont="1" applyBorder="1" applyAlignment="1">
      <alignment horizontal="center" vertical="center"/>
    </xf>
    <xf numFmtId="0" fontId="6" fillId="0" borderId="9" xfId="3" applyFont="1" applyBorder="1" applyAlignment="1">
      <alignment horizontal="left" vertical="center" wrapText="1"/>
    </xf>
    <xf numFmtId="0" fontId="14" fillId="0" borderId="9" xfId="3" applyFont="1" applyBorder="1" applyAlignment="1">
      <alignment horizontal="left" vertical="center" wrapText="1"/>
    </xf>
    <xf numFmtId="0" fontId="19" fillId="0" borderId="9" xfId="3" applyFont="1" applyBorder="1" applyAlignment="1">
      <alignment horizontal="center" vertical="center"/>
    </xf>
    <xf numFmtId="0" fontId="20" fillId="0" borderId="9" xfId="3" applyFont="1" applyBorder="1"/>
    <xf numFmtId="0" fontId="20" fillId="0" borderId="21" xfId="3" applyFont="1" applyBorder="1"/>
    <xf numFmtId="0" fontId="18" fillId="3" borderId="6" xfId="3" applyFont="1" applyFill="1" applyBorder="1" applyAlignment="1">
      <alignment horizontal="center" vertical="center"/>
    </xf>
    <xf numFmtId="0" fontId="18" fillId="3" borderId="9" xfId="3" applyFont="1" applyFill="1" applyBorder="1" applyAlignment="1">
      <alignment horizontal="center" vertical="center"/>
    </xf>
    <xf numFmtId="0" fontId="6" fillId="3" borderId="9" xfId="3" applyFont="1" applyFill="1" applyBorder="1" applyAlignment="1">
      <alignment horizontal="left" vertical="center" wrapText="1"/>
    </xf>
    <xf numFmtId="0" fontId="14" fillId="3" borderId="9" xfId="3" applyFont="1" applyFill="1" applyBorder="1" applyAlignment="1">
      <alignment horizontal="left" vertical="center" wrapText="1"/>
    </xf>
    <xf numFmtId="0" fontId="19" fillId="3" borderId="9" xfId="3" applyFont="1" applyFill="1" applyBorder="1" applyAlignment="1">
      <alignment horizontal="center" vertical="center"/>
    </xf>
    <xf numFmtId="0" fontId="20" fillId="3" borderId="21" xfId="3" applyFont="1" applyFill="1" applyBorder="1"/>
    <xf numFmtId="0" fontId="6" fillId="3" borderId="9" xfId="0" applyFont="1" applyFill="1" applyBorder="1" applyAlignment="1">
      <alignment horizontal="left" vertical="center"/>
    </xf>
    <xf numFmtId="0" fontId="21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/>
    </xf>
    <xf numFmtId="0" fontId="6" fillId="3" borderId="21" xfId="0" applyFont="1" applyFill="1" applyBorder="1" applyAlignment="1">
      <alignment horizontal="left" vertical="center"/>
    </xf>
    <xf numFmtId="0" fontId="14" fillId="0" borderId="9" xfId="3" applyFont="1" applyBorder="1" applyAlignment="1">
      <alignment horizontal="left" vertical="top" wrapText="1"/>
    </xf>
    <xf numFmtId="0" fontId="11" fillId="0" borderId="21" xfId="3" applyFont="1" applyBorder="1" applyAlignment="1">
      <alignment horizontal="center" vertical="center"/>
    </xf>
    <xf numFmtId="0" fontId="10" fillId="0" borderId="21" xfId="3" applyFont="1" applyBorder="1" applyAlignment="1">
      <alignment vertical="center"/>
    </xf>
    <xf numFmtId="0" fontId="14" fillId="3" borderId="21" xfId="3" applyFont="1" applyFill="1" applyBorder="1" applyAlignment="1">
      <alignment horizontal="left" vertical="top" wrapText="1"/>
    </xf>
    <xf numFmtId="0" fontId="18" fillId="3" borderId="21" xfId="3" applyFont="1" applyFill="1" applyBorder="1" applyAlignment="1">
      <alignment horizontal="center" vertical="center"/>
    </xf>
    <xf numFmtId="0" fontId="11" fillId="3" borderId="21" xfId="3" applyFont="1" applyFill="1" applyBorder="1" applyAlignment="1">
      <alignment horizontal="center" vertical="center"/>
    </xf>
    <xf numFmtId="0" fontId="10" fillId="3" borderId="21" xfId="3" applyFont="1" applyFill="1" applyBorder="1" applyAlignment="1">
      <alignment vertical="center"/>
    </xf>
    <xf numFmtId="0" fontId="10" fillId="0" borderId="19" xfId="3" applyFont="1" applyBorder="1" applyAlignment="1">
      <alignment horizontal="center" vertical="center"/>
    </xf>
    <xf numFmtId="0" fontId="10" fillId="0" borderId="19" xfId="3" applyFont="1" applyBorder="1" applyAlignment="1">
      <alignment vertical="center"/>
    </xf>
    <xf numFmtId="0" fontId="11" fillId="0" borderId="19" xfId="3" applyFont="1" applyBorder="1" applyAlignment="1">
      <alignment horizontal="center" vertical="center"/>
    </xf>
    <xf numFmtId="177" fontId="14" fillId="0" borderId="9" xfId="3" applyNumberFormat="1" applyFont="1" applyBorder="1" applyAlignment="1">
      <alignment horizontal="center" vertical="center" wrapText="1"/>
    </xf>
    <xf numFmtId="177" fontId="15" fillId="0" borderId="9" xfId="3" applyNumberFormat="1" applyFont="1" applyBorder="1" applyAlignment="1">
      <alignment horizontal="center" vertical="center" wrapText="1"/>
    </xf>
    <xf numFmtId="177" fontId="22" fillId="0" borderId="9" xfId="3" applyNumberFormat="1" applyFont="1" applyBorder="1" applyAlignment="1">
      <alignment horizontal="center" vertical="center" wrapText="1"/>
    </xf>
    <xf numFmtId="177" fontId="10" fillId="0" borderId="13" xfId="3" applyNumberFormat="1" applyFont="1" applyBorder="1" applyAlignment="1">
      <alignment horizontal="center" vertical="center"/>
    </xf>
    <xf numFmtId="177" fontId="9" fillId="0" borderId="13" xfId="3" applyNumberFormat="1" applyBorder="1" applyAlignment="1">
      <alignment horizontal="center"/>
    </xf>
    <xf numFmtId="177" fontId="14" fillId="0" borderId="21" xfId="3" applyNumberFormat="1" applyFont="1" applyBorder="1" applyAlignment="1">
      <alignment horizontal="center" vertical="center" wrapText="1"/>
    </xf>
    <xf numFmtId="177" fontId="15" fillId="0" borderId="21" xfId="3" applyNumberFormat="1" applyFont="1" applyBorder="1" applyAlignment="1">
      <alignment horizontal="center" vertical="center" wrapText="1"/>
    </xf>
    <xf numFmtId="177" fontId="9" fillId="0" borderId="22" xfId="3" applyNumberFormat="1" applyBorder="1" applyAlignment="1">
      <alignment horizontal="center"/>
    </xf>
    <xf numFmtId="177" fontId="14" fillId="3" borderId="21" xfId="3" applyNumberFormat="1" applyFont="1" applyFill="1" applyBorder="1" applyAlignment="1">
      <alignment horizontal="center" vertical="center" wrapText="1"/>
    </xf>
    <xf numFmtId="177" fontId="15" fillId="3" borderId="21" xfId="3" applyNumberFormat="1" applyFont="1" applyFill="1" applyBorder="1" applyAlignment="1">
      <alignment horizontal="center" vertical="center" wrapText="1"/>
    </xf>
    <xf numFmtId="177" fontId="9" fillId="3" borderId="22" xfId="3" applyNumberFormat="1" applyFill="1" applyBorder="1" applyAlignment="1">
      <alignment horizontal="center"/>
    </xf>
    <xf numFmtId="177" fontId="22" fillId="0" borderId="21" xfId="3" applyNumberFormat="1" applyFont="1" applyBorder="1" applyAlignment="1">
      <alignment horizontal="center" vertical="center" wrapText="1"/>
    </xf>
    <xf numFmtId="177" fontId="10" fillId="0" borderId="22" xfId="3" applyNumberFormat="1" applyFont="1" applyBorder="1" applyAlignment="1">
      <alignment horizontal="center" vertical="center"/>
    </xf>
    <xf numFmtId="177" fontId="22" fillId="3" borderId="21" xfId="3" applyNumberFormat="1" applyFont="1" applyFill="1" applyBorder="1" applyAlignment="1">
      <alignment horizontal="center" vertical="center" wrapText="1"/>
    </xf>
    <xf numFmtId="177" fontId="10" fillId="3" borderId="22" xfId="3" applyNumberFormat="1" applyFont="1" applyFill="1" applyBorder="1" applyAlignment="1">
      <alignment horizontal="center" vertical="center"/>
    </xf>
    <xf numFmtId="177" fontId="22" fillId="0" borderId="19" xfId="3" applyNumberFormat="1" applyFont="1" applyBorder="1" applyAlignment="1">
      <alignment horizontal="center" vertical="center" wrapText="1"/>
    </xf>
    <xf numFmtId="177" fontId="15" fillId="0" borderId="19" xfId="3" applyNumberFormat="1" applyFont="1" applyBorder="1" applyAlignment="1">
      <alignment horizontal="center" vertical="center" wrapText="1"/>
    </xf>
    <xf numFmtId="177" fontId="10" fillId="0" borderId="20" xfId="3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>
      <alignment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left" vertical="center"/>
    </xf>
    <xf numFmtId="0" fontId="1" fillId="0" borderId="15" xfId="1" applyFont="1" applyBorder="1" applyAlignment="1">
      <alignment horizontal="left" vertical="center"/>
    </xf>
    <xf numFmtId="0" fontId="1" fillId="0" borderId="16" xfId="1" applyFont="1" applyBorder="1" applyAlignment="1">
      <alignment horizontal="left" vertical="center"/>
    </xf>
    <xf numFmtId="0" fontId="3" fillId="0" borderId="0" xfId="1" applyFont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49" fontId="4" fillId="0" borderId="4" xfId="1" applyNumberFormat="1" applyFont="1" applyBorder="1" applyAlignment="1">
      <alignment horizontal="center" vertical="center" wrapText="1"/>
    </xf>
    <xf numFmtId="49" fontId="4" fillId="0" borderId="4" xfId="1" applyNumberFormat="1" applyFont="1" applyBorder="1" applyAlignment="1">
      <alignment horizontal="center" vertical="center"/>
    </xf>
    <xf numFmtId="49" fontId="4" fillId="0" borderId="5" xfId="1" applyNumberFormat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9" fillId="0" borderId="5" xfId="3" applyBorder="1" applyAlignment="1">
      <alignment horizontal="center" vertical="center"/>
    </xf>
    <xf numFmtId="0" fontId="9" fillId="0" borderId="13" xfId="3" applyBorder="1" applyAlignment="1">
      <alignment horizontal="center" vertical="center"/>
    </xf>
    <xf numFmtId="0" fontId="12" fillId="0" borderId="0" xfId="3" applyFont="1" applyAlignment="1">
      <alignment horizontal="center" vertical="center" wrapText="1"/>
    </xf>
    <xf numFmtId="0" fontId="13" fillId="0" borderId="0" xfId="3" applyFont="1" applyAlignment="1">
      <alignment horizontal="center" vertical="center" wrapText="1"/>
    </xf>
    <xf numFmtId="0" fontId="14" fillId="0" borderId="0" xfId="3" applyFont="1" applyAlignment="1">
      <alignment vertical="center" wrapText="1"/>
    </xf>
    <xf numFmtId="0" fontId="15" fillId="0" borderId="0" xfId="3" applyFont="1" applyAlignment="1">
      <alignment vertical="center" wrapText="1"/>
    </xf>
    <xf numFmtId="0" fontId="14" fillId="0" borderId="4" xfId="3" applyFont="1" applyBorder="1" applyAlignment="1">
      <alignment horizontal="center" vertical="center" wrapText="1"/>
    </xf>
    <xf numFmtId="0" fontId="15" fillId="0" borderId="4" xfId="3" applyFont="1" applyBorder="1" applyAlignment="1">
      <alignment horizontal="center" vertical="center" wrapText="1"/>
    </xf>
    <xf numFmtId="0" fontId="10" fillId="0" borderId="17" xfId="3" applyFont="1" applyBorder="1" applyAlignment="1">
      <alignment horizontal="center" vertical="center"/>
    </xf>
    <xf numFmtId="0" fontId="10" fillId="0" borderId="19" xfId="3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9" xfId="3" applyFont="1" applyBorder="1" applyAlignment="1">
      <alignment horizontal="center" vertical="center" wrapText="1"/>
    </xf>
    <xf numFmtId="0" fontId="15" fillId="0" borderId="9" xfId="3" applyFont="1" applyBorder="1" applyAlignment="1">
      <alignment horizontal="center" vertical="center" wrapText="1"/>
    </xf>
    <xf numFmtId="177" fontId="14" fillId="0" borderId="9" xfId="3" applyNumberFormat="1" applyFont="1" applyBorder="1" applyAlignment="1">
      <alignment horizontal="center" vertical="center" wrapText="1"/>
    </xf>
    <xf numFmtId="177" fontId="15" fillId="0" borderId="9" xfId="3" applyNumberFormat="1" applyFont="1" applyBorder="1" applyAlignment="1">
      <alignment horizontal="center" vertical="center" wrapText="1"/>
    </xf>
    <xf numFmtId="0" fontId="1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" fillId="0" borderId="9" xfId="1" applyFont="1" applyBorder="1" applyAlignment="1">
      <alignment horizontal="left" vertical="center"/>
    </xf>
  </cellXfs>
  <cellStyles count="4">
    <cellStyle name="Normal" xfId="3" xr:uid="{00000000-0005-0000-0000-000033000000}"/>
    <cellStyle name="常规" xfId="0" builtinId="0"/>
    <cellStyle name="常规 12 13" xfId="1" xr:uid="{00000000-0005-0000-0000-000031000000}"/>
    <cellStyle name="常规 8 5 10" xfId="2" xr:uid="{00000000-0005-0000-0000-000032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00000"/>
      <color rgb="FF00B050"/>
      <color rgb="FFFF00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view="pageBreakPreview" zoomScaleNormal="100" workbookViewId="0">
      <selection activeCell="C10" sqref="C10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16" t="s">
        <v>2</v>
      </c>
      <c r="C2" s="116"/>
      <c r="D2" s="117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5</v>
      </c>
      <c r="C3" s="108"/>
      <c r="D3" s="109"/>
      <c r="E3" s="8" t="s">
        <v>6</v>
      </c>
      <c r="F3" s="121"/>
      <c r="G3" s="122"/>
      <c r="H3" s="123"/>
    </row>
    <row r="4" spans="1:8" s="1" customFormat="1" ht="24.9" customHeight="1" x14ac:dyDescent="0.25">
      <c r="A4" s="9" t="s">
        <v>7</v>
      </c>
      <c r="B4" s="108"/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 t="s">
        <v>16</v>
      </c>
      <c r="H6" s="11" t="s">
        <v>17</v>
      </c>
    </row>
    <row r="7" spans="1:8" s="1" customFormat="1" ht="24.9" customHeight="1" x14ac:dyDescent="0.25">
      <c r="A7" s="12"/>
      <c r="B7" s="37"/>
      <c r="C7" s="8"/>
      <c r="D7" s="8"/>
      <c r="E7" s="8"/>
      <c r="F7" s="14"/>
      <c r="G7" s="8"/>
      <c r="H7" s="11"/>
    </row>
    <row r="8" spans="1:8" s="1" customFormat="1" ht="24.9" customHeight="1" x14ac:dyDescent="0.25">
      <c r="A8" s="9"/>
      <c r="B8" s="7"/>
      <c r="C8" s="8"/>
      <c r="D8" s="8"/>
      <c r="E8" s="8"/>
      <c r="F8" s="8"/>
      <c r="G8" s="8"/>
      <c r="H8" s="10"/>
    </row>
    <row r="9" spans="1:8" s="1" customFormat="1" ht="24.9" customHeight="1" x14ac:dyDescent="0.25">
      <c r="A9" s="12"/>
      <c r="B9" s="37"/>
      <c r="C9" s="8"/>
      <c r="D9" s="8"/>
      <c r="E9" s="8"/>
      <c r="F9" s="8"/>
      <c r="G9" s="8"/>
      <c r="H9" s="11"/>
    </row>
    <row r="10" spans="1:8" s="1" customFormat="1" ht="24.9" customHeight="1" x14ac:dyDescent="0.25">
      <c r="A10" s="9"/>
      <c r="B10" s="7"/>
      <c r="C10" s="8"/>
      <c r="D10" s="8"/>
      <c r="E10" s="8"/>
      <c r="F10" s="8"/>
      <c r="G10" s="8"/>
      <c r="H10" s="10"/>
    </row>
    <row r="11" spans="1:8" s="1" customFormat="1" ht="24.9" customHeight="1" x14ac:dyDescent="0.25">
      <c r="A11" s="27"/>
      <c r="B11" s="28"/>
      <c r="C11" s="18"/>
      <c r="D11" s="18"/>
      <c r="E11" s="18"/>
      <c r="F11" s="18"/>
      <c r="G11" s="18"/>
      <c r="H11" s="26"/>
    </row>
    <row r="12" spans="1:8" s="1" customFormat="1" ht="24.9" customHeight="1" x14ac:dyDescent="0.25">
      <c r="A12" s="27"/>
      <c r="B12" s="28"/>
      <c r="C12" s="18"/>
      <c r="D12" s="18"/>
      <c r="E12" s="18"/>
      <c r="F12" s="18"/>
      <c r="G12" s="18"/>
      <c r="H12" s="26"/>
    </row>
    <row r="13" spans="1:8" s="1" customFormat="1" ht="24.9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s="1" customFormat="1" ht="24.9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s="2" customFormat="1" ht="24.9" customHeight="1" x14ac:dyDescent="0.25">
      <c r="A15" s="40"/>
      <c r="B15" s="41"/>
      <c r="C15" s="24"/>
      <c r="D15" s="24"/>
      <c r="E15" s="24"/>
      <c r="F15" s="24"/>
      <c r="G15" s="24"/>
      <c r="H15" s="25"/>
    </row>
    <row r="16" spans="1:8" s="1" customFormat="1" ht="24.9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s="1" customFormat="1" ht="24.9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s="1" customFormat="1" ht="24.9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s="1" customFormat="1" ht="24.9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0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7"/>
  <sheetViews>
    <sheetView view="pageBreakPreview" zoomScaleNormal="100" workbookViewId="0">
      <selection activeCell="F18" sqref="F18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16" t="s">
        <v>2</v>
      </c>
      <c r="C2" s="116"/>
      <c r="D2" s="117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5</v>
      </c>
      <c r="C3" s="108"/>
      <c r="D3" s="109"/>
      <c r="E3" s="8" t="s">
        <v>6</v>
      </c>
      <c r="F3" s="121"/>
      <c r="G3" s="122"/>
      <c r="H3" s="123"/>
    </row>
    <row r="4" spans="1:8" s="1" customFormat="1" ht="24.9" customHeight="1" x14ac:dyDescent="0.25">
      <c r="A4" s="9" t="s">
        <v>7</v>
      </c>
      <c r="B4" s="108"/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 t="s">
        <v>16</v>
      </c>
      <c r="H6" s="11" t="s">
        <v>17</v>
      </c>
    </row>
    <row r="7" spans="1:8" s="1" customFormat="1" ht="24.9" customHeight="1" x14ac:dyDescent="0.25">
      <c r="A7" s="12"/>
      <c r="B7" s="37"/>
      <c r="C7" s="8"/>
      <c r="D7" s="8"/>
      <c r="E7" s="8"/>
      <c r="F7" s="14"/>
      <c r="G7" s="8"/>
      <c r="H7" s="11"/>
    </row>
    <row r="8" spans="1:8" s="1" customFormat="1" ht="24.9" customHeight="1" x14ac:dyDescent="0.25">
      <c r="A8" s="9"/>
      <c r="B8" s="7"/>
      <c r="C8" s="8"/>
      <c r="D8" s="8"/>
      <c r="E8" s="8"/>
      <c r="F8" s="8"/>
      <c r="G8" s="8"/>
      <c r="H8" s="10"/>
    </row>
    <row r="9" spans="1:8" s="1" customFormat="1" ht="24.9" customHeight="1" x14ac:dyDescent="0.25">
      <c r="A9" s="12"/>
      <c r="B9" s="37"/>
      <c r="C9" s="8"/>
      <c r="D9" s="8"/>
      <c r="E9" s="8"/>
      <c r="F9" s="8"/>
      <c r="G9" s="8"/>
      <c r="H9" s="11"/>
    </row>
    <row r="10" spans="1:8" s="1" customFormat="1" ht="24.9" customHeight="1" x14ac:dyDescent="0.25">
      <c r="A10" s="9"/>
      <c r="B10" s="7"/>
      <c r="C10" s="8"/>
      <c r="D10" s="8"/>
      <c r="E10" s="8"/>
      <c r="F10" s="8"/>
      <c r="G10" s="8"/>
      <c r="H10" s="10"/>
    </row>
    <row r="11" spans="1:8" s="1" customFormat="1" ht="24.9" customHeight="1" x14ac:dyDescent="0.25">
      <c r="A11" s="27"/>
      <c r="B11" s="28"/>
      <c r="C11" s="18"/>
      <c r="D11" s="18"/>
      <c r="E11" s="18"/>
      <c r="F11" s="18"/>
      <c r="G11" s="18"/>
      <c r="H11" s="26"/>
    </row>
    <row r="12" spans="1:8" s="1" customFormat="1" ht="24.9" customHeight="1" x14ac:dyDescent="0.25">
      <c r="A12" s="27"/>
      <c r="B12" s="28"/>
      <c r="C12" s="18"/>
      <c r="D12" s="18"/>
      <c r="E12" s="18"/>
      <c r="F12" s="18"/>
      <c r="G12" s="18"/>
      <c r="H12" s="26"/>
    </row>
    <row r="13" spans="1:8" s="1" customFormat="1" ht="24.9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s="1" customFormat="1" ht="24.9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s="2" customFormat="1" ht="24.9" customHeight="1" x14ac:dyDescent="0.25">
      <c r="A15" s="40"/>
      <c r="B15" s="41"/>
      <c r="C15" s="24"/>
      <c r="D15" s="24"/>
      <c r="E15" s="24"/>
      <c r="F15" s="24"/>
      <c r="G15" s="24"/>
      <c r="H15" s="25"/>
    </row>
    <row r="16" spans="1:8" s="1" customFormat="1" ht="24.9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s="1" customFormat="1" ht="24.9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s="1" customFormat="1" ht="24.9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s="1" customFormat="1" ht="24.9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0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XFD58"/>
  <sheetViews>
    <sheetView showGridLines="0" topLeftCell="A47" zoomScale="85" zoomScaleNormal="85" workbookViewId="0">
      <selection activeCell="D50" sqref="D50"/>
    </sheetView>
  </sheetViews>
  <sheetFormatPr defaultColWidth="8" defaultRowHeight="14.4" x14ac:dyDescent="0.15"/>
  <cols>
    <col min="1" max="1" width="6.109375" style="50" customWidth="1"/>
    <col min="2" max="2" width="11.109375" style="50" customWidth="1"/>
    <col min="3" max="3" width="25.109375" style="50" customWidth="1"/>
    <col min="4" max="4" width="25.5546875" style="50" customWidth="1"/>
    <col min="5" max="5" width="10.109375" style="50" customWidth="1"/>
    <col min="6" max="6" width="7.21875" style="50" customWidth="1"/>
    <col min="7" max="7" width="7.21875" style="53" customWidth="1"/>
    <col min="8" max="8" width="9.33203125" style="50" customWidth="1"/>
    <col min="9" max="9" width="12" style="50" customWidth="1"/>
    <col min="10" max="10" width="11" style="53" customWidth="1"/>
    <col min="11" max="11" width="12.77734375" style="50" customWidth="1"/>
    <col min="12" max="16375" width="8" style="50"/>
  </cols>
  <sheetData>
    <row r="1" spans="1:12 16376:16384" s="50" customFormat="1" ht="27.75" customHeight="1" x14ac:dyDescent="0.15">
      <c r="A1" s="126" t="s">
        <v>19</v>
      </c>
      <c r="B1" s="126"/>
      <c r="C1" s="126"/>
      <c r="D1" s="126"/>
      <c r="E1" s="126"/>
      <c r="F1" s="126"/>
      <c r="G1" s="127"/>
      <c r="H1" s="126"/>
      <c r="I1" s="126"/>
      <c r="J1" s="127"/>
      <c r="K1" s="126"/>
      <c r="XEV1"/>
      <c r="XEW1"/>
      <c r="XEX1"/>
      <c r="XEY1"/>
      <c r="XEZ1"/>
      <c r="XFA1"/>
      <c r="XFB1"/>
      <c r="XFC1"/>
      <c r="XFD1"/>
    </row>
    <row r="2" spans="1:12 16376:16384" s="50" customFormat="1" ht="30" customHeight="1" x14ac:dyDescent="0.15">
      <c r="A2" s="128" t="s">
        <v>20</v>
      </c>
      <c r="B2" s="128"/>
      <c r="C2" s="128"/>
      <c r="D2" s="128"/>
      <c r="E2" s="128"/>
      <c r="F2" s="128"/>
      <c r="G2" s="129"/>
      <c r="H2" s="128"/>
      <c r="I2" s="128"/>
      <c r="J2" s="55"/>
      <c r="K2" s="54"/>
      <c r="XEV2"/>
      <c r="XEW2"/>
      <c r="XEX2"/>
      <c r="XEY2"/>
      <c r="XEZ2"/>
      <c r="XFA2"/>
      <c r="XFB2"/>
      <c r="XFC2"/>
      <c r="XFD2"/>
    </row>
    <row r="3" spans="1:12 16376:16384" s="50" customFormat="1" ht="18" customHeight="1" x14ac:dyDescent="0.15">
      <c r="A3" s="134" t="s">
        <v>10</v>
      </c>
      <c r="B3" s="130" t="s">
        <v>21</v>
      </c>
      <c r="C3" s="130" t="s">
        <v>22</v>
      </c>
      <c r="D3" s="130" t="s">
        <v>23</v>
      </c>
      <c r="E3" s="130" t="s">
        <v>7</v>
      </c>
      <c r="F3" s="130" t="s">
        <v>24</v>
      </c>
      <c r="G3" s="131" t="s">
        <v>25</v>
      </c>
      <c r="H3" s="130" t="s">
        <v>26</v>
      </c>
      <c r="I3" s="130"/>
      <c r="J3" s="131"/>
      <c r="K3" s="130"/>
      <c r="L3" s="124" t="s">
        <v>27</v>
      </c>
      <c r="XEV3"/>
      <c r="XEW3"/>
      <c r="XEX3"/>
      <c r="XEY3"/>
      <c r="XEZ3"/>
      <c r="XFA3"/>
      <c r="XFB3"/>
      <c r="XFC3"/>
      <c r="XFD3"/>
    </row>
    <row r="4" spans="1:12 16376:16384" s="50" customFormat="1" ht="18" customHeight="1" x14ac:dyDescent="0.15">
      <c r="A4" s="135"/>
      <c r="B4" s="136"/>
      <c r="C4" s="136"/>
      <c r="D4" s="136"/>
      <c r="E4" s="136"/>
      <c r="F4" s="136"/>
      <c r="G4" s="137"/>
      <c r="H4" s="136" t="s">
        <v>28</v>
      </c>
      <c r="I4" s="138" t="s">
        <v>29</v>
      </c>
      <c r="J4" s="139" t="s">
        <v>30</v>
      </c>
      <c r="K4" s="138" t="s">
        <v>31</v>
      </c>
      <c r="L4" s="125"/>
      <c r="XEV4"/>
      <c r="XEW4"/>
      <c r="XEX4"/>
      <c r="XEY4"/>
      <c r="XEZ4"/>
      <c r="XFA4"/>
      <c r="XFB4"/>
      <c r="XFC4"/>
      <c r="XFD4"/>
    </row>
    <row r="5" spans="1:12 16376:16384" s="50" customFormat="1" ht="18" customHeight="1" x14ac:dyDescent="0.15">
      <c r="A5" s="135"/>
      <c r="B5" s="136"/>
      <c r="C5" s="136"/>
      <c r="D5" s="136"/>
      <c r="E5" s="136"/>
      <c r="F5" s="136"/>
      <c r="G5" s="137"/>
      <c r="H5" s="136"/>
      <c r="I5" s="138"/>
      <c r="J5" s="139"/>
      <c r="K5" s="138"/>
      <c r="L5" s="125"/>
      <c r="XEV5"/>
      <c r="XEW5"/>
      <c r="XEX5"/>
      <c r="XEY5"/>
      <c r="XEZ5"/>
      <c r="XFA5"/>
      <c r="XFB5"/>
      <c r="XFC5"/>
      <c r="XFD5"/>
    </row>
    <row r="6" spans="1:12 16376:16384" s="51" customFormat="1" ht="25.05" customHeight="1" x14ac:dyDescent="0.25">
      <c r="A6" s="56" t="s">
        <v>32</v>
      </c>
      <c r="B6" s="57" t="s">
        <v>33</v>
      </c>
      <c r="C6" s="58"/>
      <c r="D6" s="57"/>
      <c r="E6" s="57"/>
      <c r="F6" s="57">
        <f>SUM(F7:F7)</f>
        <v>0</v>
      </c>
      <c r="G6" s="59">
        <f>SUM(G7:G57)</f>
        <v>432</v>
      </c>
      <c r="H6" s="60"/>
      <c r="I6" s="90"/>
      <c r="J6" s="89"/>
      <c r="K6" s="90"/>
      <c r="L6" s="91"/>
      <c r="XEW6" s="106"/>
      <c r="XEX6" s="106"/>
      <c r="XEY6" s="106"/>
      <c r="XEZ6" s="106"/>
      <c r="XFA6" s="106"/>
      <c r="XFB6" s="106"/>
      <c r="XFC6" s="106"/>
      <c r="XFD6" s="106"/>
    </row>
    <row r="7" spans="1:12 16376:16384" s="50" customFormat="1" ht="86.4" x14ac:dyDescent="0.15">
      <c r="A7" s="61">
        <v>1</v>
      </c>
      <c r="B7" s="62" t="s">
        <v>34</v>
      </c>
      <c r="C7" s="63" t="s">
        <v>35</v>
      </c>
      <c r="D7" s="64" t="s">
        <v>36</v>
      </c>
      <c r="E7" s="62" t="s">
        <v>37</v>
      </c>
      <c r="F7" s="62">
        <v>0</v>
      </c>
      <c r="G7" s="65">
        <v>1</v>
      </c>
      <c r="H7" s="66"/>
      <c r="I7" s="88"/>
      <c r="J7" s="89"/>
      <c r="K7" s="88"/>
      <c r="L7" s="92"/>
      <c r="XEV7"/>
      <c r="XEW7"/>
      <c r="XEX7"/>
      <c r="XEY7"/>
      <c r="XEZ7"/>
      <c r="XFA7"/>
      <c r="XFB7"/>
      <c r="XFC7"/>
      <c r="XFD7"/>
    </row>
    <row r="8" spans="1:12 16376:16384" s="50" customFormat="1" ht="86.4" x14ac:dyDescent="0.15">
      <c r="A8" s="61">
        <v>2</v>
      </c>
      <c r="B8" s="62" t="s">
        <v>38</v>
      </c>
      <c r="C8" s="63" t="s">
        <v>35</v>
      </c>
      <c r="D8" s="64" t="s">
        <v>39</v>
      </c>
      <c r="E8" s="62" t="s">
        <v>37</v>
      </c>
      <c r="F8" s="62">
        <v>0</v>
      </c>
      <c r="G8" s="65">
        <v>2</v>
      </c>
      <c r="H8" s="67"/>
      <c r="I8" s="93"/>
      <c r="J8" s="94"/>
      <c r="K8" s="93"/>
      <c r="L8" s="95"/>
      <c r="XEW8"/>
      <c r="XEX8"/>
      <c r="XEY8"/>
      <c r="XEZ8"/>
      <c r="XFA8"/>
      <c r="XFB8"/>
      <c r="XFC8"/>
      <c r="XFD8"/>
    </row>
    <row r="9" spans="1:12 16376:16384" s="50" customFormat="1" ht="86.4" x14ac:dyDescent="0.15">
      <c r="A9" s="61">
        <v>3</v>
      </c>
      <c r="B9" s="62" t="s">
        <v>40</v>
      </c>
      <c r="C9" s="63" t="s">
        <v>35</v>
      </c>
      <c r="D9" s="64" t="s">
        <v>41</v>
      </c>
      <c r="E9" s="62" t="s">
        <v>37</v>
      </c>
      <c r="F9" s="62">
        <v>0</v>
      </c>
      <c r="G9" s="65">
        <v>1</v>
      </c>
      <c r="H9" s="67"/>
      <c r="I9" s="93"/>
      <c r="J9" s="94"/>
      <c r="K9" s="93"/>
      <c r="L9" s="95"/>
      <c r="XEW9"/>
      <c r="XEX9"/>
      <c r="XEY9"/>
      <c r="XEZ9"/>
      <c r="XFA9"/>
      <c r="XFB9"/>
      <c r="XFC9"/>
      <c r="XFD9"/>
    </row>
    <row r="10" spans="1:12 16376:16384" s="50" customFormat="1" ht="86.4" x14ac:dyDescent="0.15">
      <c r="A10" s="68">
        <v>4</v>
      </c>
      <c r="B10" s="69" t="s">
        <v>42</v>
      </c>
      <c r="C10" s="70" t="s">
        <v>35</v>
      </c>
      <c r="D10" s="71" t="s">
        <v>43</v>
      </c>
      <c r="E10" s="69" t="s">
        <v>37</v>
      </c>
      <c r="F10" s="69">
        <v>0</v>
      </c>
      <c r="G10" s="72">
        <v>8</v>
      </c>
      <c r="H10" s="73"/>
      <c r="I10" s="96"/>
      <c r="J10" s="97"/>
      <c r="K10" s="96"/>
      <c r="L10" s="98"/>
      <c r="XEW10"/>
      <c r="XEX10"/>
      <c r="XEY10"/>
      <c r="XEZ10"/>
      <c r="XFA10"/>
      <c r="XFB10"/>
      <c r="XFC10"/>
      <c r="XFD10"/>
    </row>
    <row r="11" spans="1:12 16376:16384" s="50" customFormat="1" ht="86.4" x14ac:dyDescent="0.15">
      <c r="A11" s="68">
        <v>5</v>
      </c>
      <c r="B11" s="69" t="s">
        <v>44</v>
      </c>
      <c r="C11" s="70" t="s">
        <v>35</v>
      </c>
      <c r="D11" s="71" t="s">
        <v>45</v>
      </c>
      <c r="E11" s="69" t="s">
        <v>37</v>
      </c>
      <c r="F11" s="69">
        <v>0</v>
      </c>
      <c r="G11" s="72">
        <v>1</v>
      </c>
      <c r="H11" s="73"/>
      <c r="I11" s="96"/>
      <c r="J11" s="97"/>
      <c r="K11" s="96"/>
      <c r="L11" s="98"/>
      <c r="XEW11"/>
      <c r="XEX11"/>
      <c r="XEY11"/>
      <c r="XEZ11"/>
      <c r="XFA11"/>
      <c r="XFB11"/>
      <c r="XFC11"/>
      <c r="XFD11"/>
    </row>
    <row r="12" spans="1:12 16376:16384" s="50" customFormat="1" ht="86.4" x14ac:dyDescent="0.15">
      <c r="A12" s="68">
        <v>6</v>
      </c>
      <c r="B12" s="69" t="s">
        <v>46</v>
      </c>
      <c r="C12" s="74" t="s">
        <v>35</v>
      </c>
      <c r="D12" s="71" t="s">
        <v>47</v>
      </c>
      <c r="E12" s="69" t="s">
        <v>37</v>
      </c>
      <c r="F12" s="69">
        <v>0</v>
      </c>
      <c r="G12" s="72">
        <v>1</v>
      </c>
      <c r="H12" s="73"/>
      <c r="I12" s="96"/>
      <c r="J12" s="97"/>
      <c r="K12" s="96"/>
      <c r="L12" s="98"/>
      <c r="XEW12"/>
      <c r="XEX12"/>
      <c r="XEY12"/>
      <c r="XEZ12"/>
      <c r="XFA12"/>
      <c r="XFB12"/>
      <c r="XFC12"/>
      <c r="XFD12"/>
    </row>
    <row r="13" spans="1:12 16376:16384" s="50" customFormat="1" ht="86.4" x14ac:dyDescent="0.15">
      <c r="A13" s="61">
        <v>7</v>
      </c>
      <c r="B13" s="62" t="s">
        <v>48</v>
      </c>
      <c r="C13" s="63" t="s">
        <v>35</v>
      </c>
      <c r="D13" s="64" t="s">
        <v>49</v>
      </c>
      <c r="E13" s="62" t="s">
        <v>37</v>
      </c>
      <c r="F13" s="62">
        <v>0</v>
      </c>
      <c r="G13" s="65">
        <v>13</v>
      </c>
      <c r="H13" s="67"/>
      <c r="I13" s="93"/>
      <c r="J13" s="94"/>
      <c r="K13" s="93"/>
      <c r="L13" s="95"/>
      <c r="XEW13"/>
      <c r="XEX13"/>
      <c r="XEY13"/>
      <c r="XEZ13"/>
      <c r="XFA13"/>
      <c r="XFB13"/>
      <c r="XFC13"/>
      <c r="XFD13"/>
    </row>
    <row r="14" spans="1:12 16376:16384" s="50" customFormat="1" ht="86.4" x14ac:dyDescent="0.15">
      <c r="A14" s="61">
        <v>8</v>
      </c>
      <c r="B14" s="62" t="s">
        <v>50</v>
      </c>
      <c r="C14" s="63" t="s">
        <v>35</v>
      </c>
      <c r="D14" s="64" t="s">
        <v>51</v>
      </c>
      <c r="E14" s="62" t="s">
        <v>37</v>
      </c>
      <c r="F14" s="62">
        <v>0</v>
      </c>
      <c r="G14" s="65">
        <v>222</v>
      </c>
      <c r="H14" s="67"/>
      <c r="I14" s="93"/>
      <c r="J14" s="94"/>
      <c r="K14" s="93"/>
      <c r="L14" s="95"/>
      <c r="XEW14"/>
      <c r="XEX14"/>
      <c r="XEY14"/>
      <c r="XEZ14"/>
      <c r="XFA14"/>
      <c r="XFB14"/>
      <c r="XFC14"/>
      <c r="XFD14"/>
    </row>
    <row r="15" spans="1:12 16376:16384" s="50" customFormat="1" ht="86.4" x14ac:dyDescent="0.15">
      <c r="A15" s="68">
        <v>9</v>
      </c>
      <c r="B15" s="69" t="s">
        <v>52</v>
      </c>
      <c r="C15" s="70" t="s">
        <v>35</v>
      </c>
      <c r="D15" s="71" t="s">
        <v>53</v>
      </c>
      <c r="E15" s="69" t="s">
        <v>37</v>
      </c>
      <c r="F15" s="69">
        <v>0</v>
      </c>
      <c r="G15" s="72">
        <v>10</v>
      </c>
      <c r="H15" s="73"/>
      <c r="I15" s="96"/>
      <c r="J15" s="97"/>
      <c r="K15" s="96"/>
      <c r="L15" s="98"/>
      <c r="XEV15"/>
      <c r="XEW15"/>
      <c r="XEX15"/>
      <c r="XEY15"/>
      <c r="XEZ15"/>
      <c r="XFA15"/>
      <c r="XFB15"/>
      <c r="XFC15"/>
      <c r="XFD15"/>
    </row>
    <row r="16" spans="1:12 16376:16384" s="50" customFormat="1" ht="86.4" x14ac:dyDescent="0.15">
      <c r="A16" s="61">
        <v>10</v>
      </c>
      <c r="B16" s="62" t="s">
        <v>54</v>
      </c>
      <c r="C16" s="63" t="s">
        <v>55</v>
      </c>
      <c r="D16" s="64" t="s">
        <v>56</v>
      </c>
      <c r="E16" s="62" t="s">
        <v>37</v>
      </c>
      <c r="F16" s="62">
        <v>0</v>
      </c>
      <c r="G16" s="65">
        <v>1</v>
      </c>
      <c r="H16" s="67"/>
      <c r="I16" s="93"/>
      <c r="J16" s="94"/>
      <c r="K16" s="93"/>
      <c r="L16" s="95"/>
      <c r="XEV16"/>
      <c r="XEW16"/>
      <c r="XEX16"/>
      <c r="XEY16"/>
      <c r="XEZ16"/>
      <c r="XFA16"/>
      <c r="XFB16"/>
      <c r="XFC16"/>
      <c r="XFD16"/>
    </row>
    <row r="17" spans="1:12 16376:16384" s="50" customFormat="1" ht="86.4" x14ac:dyDescent="0.15">
      <c r="A17" s="61">
        <v>11</v>
      </c>
      <c r="B17" s="62" t="s">
        <v>57</v>
      </c>
      <c r="C17" s="63" t="s">
        <v>35</v>
      </c>
      <c r="D17" s="64" t="s">
        <v>58</v>
      </c>
      <c r="E17" s="62" t="s">
        <v>37</v>
      </c>
      <c r="F17" s="62">
        <v>0</v>
      </c>
      <c r="G17" s="65">
        <v>23</v>
      </c>
      <c r="H17" s="67"/>
      <c r="I17" s="93"/>
      <c r="J17" s="94"/>
      <c r="K17" s="93"/>
      <c r="L17" s="95"/>
      <c r="XEW17"/>
      <c r="XEX17"/>
      <c r="XEY17"/>
      <c r="XEZ17"/>
      <c r="XFA17"/>
      <c r="XFB17"/>
      <c r="XFC17"/>
      <c r="XFD17"/>
    </row>
    <row r="18" spans="1:12 16376:16384" s="50" customFormat="1" ht="86.4" x14ac:dyDescent="0.15">
      <c r="A18" s="61">
        <v>12</v>
      </c>
      <c r="B18" s="62" t="s">
        <v>59</v>
      </c>
      <c r="C18" s="75" t="s">
        <v>35</v>
      </c>
      <c r="D18" s="64" t="s">
        <v>60</v>
      </c>
      <c r="E18" s="62" t="s">
        <v>37</v>
      </c>
      <c r="F18" s="62">
        <v>0</v>
      </c>
      <c r="G18" s="65">
        <v>1</v>
      </c>
      <c r="H18" s="67"/>
      <c r="I18" s="93"/>
      <c r="J18" s="94"/>
      <c r="K18" s="93"/>
      <c r="L18" s="95"/>
      <c r="XEW18"/>
      <c r="XEX18"/>
      <c r="XEY18"/>
      <c r="XEZ18"/>
      <c r="XFA18"/>
      <c r="XFB18"/>
      <c r="XFC18"/>
      <c r="XFD18"/>
    </row>
    <row r="19" spans="1:12 16376:16384" s="50" customFormat="1" ht="86.4" x14ac:dyDescent="0.15">
      <c r="A19" s="61">
        <v>13</v>
      </c>
      <c r="B19" s="62" t="s">
        <v>61</v>
      </c>
      <c r="C19" s="63" t="s">
        <v>62</v>
      </c>
      <c r="D19" s="64" t="s">
        <v>63</v>
      </c>
      <c r="E19" s="62" t="s">
        <v>37</v>
      </c>
      <c r="F19" s="62">
        <v>0</v>
      </c>
      <c r="G19" s="65">
        <v>3</v>
      </c>
      <c r="H19" s="67"/>
      <c r="I19" s="93"/>
      <c r="J19" s="94"/>
      <c r="K19" s="93"/>
      <c r="L19" s="95"/>
      <c r="XEW19"/>
      <c r="XEX19"/>
      <c r="XEY19"/>
      <c r="XEZ19"/>
      <c r="XFA19"/>
      <c r="XFB19"/>
      <c r="XFC19"/>
      <c r="XFD19"/>
    </row>
    <row r="20" spans="1:12 16376:16384" s="50" customFormat="1" ht="86.4" x14ac:dyDescent="0.15">
      <c r="A20" s="61">
        <v>14</v>
      </c>
      <c r="B20" s="62" t="s">
        <v>64</v>
      </c>
      <c r="C20" s="63" t="s">
        <v>62</v>
      </c>
      <c r="D20" s="64" t="s">
        <v>65</v>
      </c>
      <c r="E20" s="62" t="s">
        <v>37</v>
      </c>
      <c r="F20" s="62">
        <v>0</v>
      </c>
      <c r="G20" s="65">
        <v>1</v>
      </c>
      <c r="H20" s="67"/>
      <c r="I20" s="93"/>
      <c r="J20" s="94"/>
      <c r="K20" s="93"/>
      <c r="L20" s="95"/>
      <c r="XEW20"/>
      <c r="XEX20"/>
      <c r="XEY20"/>
      <c r="XEZ20"/>
      <c r="XFA20"/>
      <c r="XFB20"/>
      <c r="XFC20"/>
      <c r="XFD20"/>
    </row>
    <row r="21" spans="1:12 16376:16384" s="50" customFormat="1" ht="86.4" x14ac:dyDescent="0.15">
      <c r="A21" s="61">
        <v>15</v>
      </c>
      <c r="B21" s="62" t="s">
        <v>66</v>
      </c>
      <c r="C21" s="63" t="s">
        <v>62</v>
      </c>
      <c r="D21" s="64" t="s">
        <v>67</v>
      </c>
      <c r="E21" s="62" t="s">
        <v>37</v>
      </c>
      <c r="F21" s="62">
        <v>0</v>
      </c>
      <c r="G21" s="65">
        <v>1</v>
      </c>
      <c r="H21" s="67"/>
      <c r="I21" s="93"/>
      <c r="J21" s="94"/>
      <c r="K21" s="93"/>
      <c r="L21" s="95"/>
      <c r="XEW21"/>
      <c r="XEX21"/>
      <c r="XEY21"/>
      <c r="XEZ21"/>
      <c r="XFA21"/>
      <c r="XFB21"/>
      <c r="XFC21"/>
      <c r="XFD21"/>
    </row>
    <row r="22" spans="1:12 16376:16384" s="50" customFormat="1" ht="86.4" x14ac:dyDescent="0.15">
      <c r="A22" s="68">
        <v>16</v>
      </c>
      <c r="B22" s="69" t="s">
        <v>68</v>
      </c>
      <c r="C22" s="70" t="s">
        <v>69</v>
      </c>
      <c r="D22" s="71" t="s">
        <v>70</v>
      </c>
      <c r="E22" s="69" t="s">
        <v>37</v>
      </c>
      <c r="F22" s="69">
        <v>0</v>
      </c>
      <c r="G22" s="72">
        <v>1</v>
      </c>
      <c r="H22" s="73"/>
      <c r="I22" s="96"/>
      <c r="J22" s="97"/>
      <c r="K22" s="96"/>
      <c r="L22" s="98"/>
      <c r="XEW22"/>
      <c r="XEX22"/>
      <c r="XEY22"/>
      <c r="XEZ22"/>
      <c r="XFA22"/>
      <c r="XFB22"/>
      <c r="XFC22"/>
      <c r="XFD22"/>
    </row>
    <row r="23" spans="1:12 16376:16384" s="50" customFormat="1" ht="86.4" x14ac:dyDescent="0.15">
      <c r="A23" s="61">
        <v>17</v>
      </c>
      <c r="B23" s="62" t="s">
        <v>71</v>
      </c>
      <c r="C23" s="63" t="s">
        <v>62</v>
      </c>
      <c r="D23" s="64" t="s">
        <v>72</v>
      </c>
      <c r="E23" s="62" t="s">
        <v>37</v>
      </c>
      <c r="F23" s="62">
        <v>0</v>
      </c>
      <c r="G23" s="65">
        <v>1</v>
      </c>
      <c r="H23" s="67"/>
      <c r="I23" s="93"/>
      <c r="J23" s="94"/>
      <c r="K23" s="93"/>
      <c r="L23" s="95"/>
      <c r="XEW23"/>
      <c r="XEX23"/>
      <c r="XEY23"/>
      <c r="XEZ23"/>
      <c r="XFA23"/>
      <c r="XFB23"/>
      <c r="XFC23"/>
      <c r="XFD23"/>
    </row>
    <row r="24" spans="1:12 16376:16384" s="50" customFormat="1" ht="86.4" x14ac:dyDescent="0.15">
      <c r="A24" s="61">
        <v>18</v>
      </c>
      <c r="B24" s="62" t="s">
        <v>73</v>
      </c>
      <c r="C24" s="63" t="s">
        <v>62</v>
      </c>
      <c r="D24" s="64" t="s">
        <v>74</v>
      </c>
      <c r="E24" s="62" t="s">
        <v>37</v>
      </c>
      <c r="F24" s="62">
        <v>0</v>
      </c>
      <c r="G24" s="65">
        <v>2</v>
      </c>
      <c r="H24" s="67"/>
      <c r="I24" s="93"/>
      <c r="J24" s="94"/>
      <c r="K24" s="93"/>
      <c r="L24" s="95"/>
      <c r="XEW24"/>
      <c r="XEX24"/>
      <c r="XEY24"/>
      <c r="XEZ24"/>
      <c r="XFA24"/>
      <c r="XFB24"/>
      <c r="XFC24"/>
      <c r="XFD24"/>
    </row>
    <row r="25" spans="1:12 16376:16384" s="50" customFormat="1" ht="86.4" x14ac:dyDescent="0.15">
      <c r="A25" s="61">
        <v>19</v>
      </c>
      <c r="B25" s="62" t="s">
        <v>75</v>
      </c>
      <c r="C25" s="63" t="s">
        <v>62</v>
      </c>
      <c r="D25" s="64" t="s">
        <v>76</v>
      </c>
      <c r="E25" s="62" t="s">
        <v>37</v>
      </c>
      <c r="F25" s="62">
        <v>0</v>
      </c>
      <c r="G25" s="65">
        <v>1</v>
      </c>
      <c r="H25" s="67"/>
      <c r="I25" s="93"/>
      <c r="J25" s="94"/>
      <c r="K25" s="93"/>
      <c r="L25" s="95"/>
      <c r="XEW25"/>
      <c r="XEX25"/>
      <c r="XEY25"/>
      <c r="XEZ25"/>
      <c r="XFA25"/>
      <c r="XFB25"/>
      <c r="XFC25"/>
      <c r="XFD25"/>
    </row>
    <row r="26" spans="1:12 16376:16384" s="50" customFormat="1" ht="86.4" x14ac:dyDescent="0.15">
      <c r="A26" s="61">
        <v>20</v>
      </c>
      <c r="B26" s="62" t="s">
        <v>77</v>
      </c>
      <c r="C26" s="63" t="s">
        <v>62</v>
      </c>
      <c r="D26" s="64" t="s">
        <v>78</v>
      </c>
      <c r="E26" s="62" t="s">
        <v>37</v>
      </c>
      <c r="F26" s="62">
        <v>0</v>
      </c>
      <c r="G26" s="65">
        <v>1</v>
      </c>
      <c r="H26" s="67"/>
      <c r="I26" s="93"/>
      <c r="J26" s="94"/>
      <c r="K26" s="93"/>
      <c r="L26" s="95"/>
      <c r="XEW26"/>
      <c r="XEX26"/>
      <c r="XEY26"/>
      <c r="XEZ26"/>
      <c r="XFA26"/>
      <c r="XFB26"/>
      <c r="XFC26"/>
      <c r="XFD26"/>
    </row>
    <row r="27" spans="1:12 16376:16384" s="50" customFormat="1" ht="86.4" x14ac:dyDescent="0.15">
      <c r="A27" s="61">
        <v>21</v>
      </c>
      <c r="B27" s="62" t="s">
        <v>79</v>
      </c>
      <c r="C27" s="63" t="s">
        <v>80</v>
      </c>
      <c r="D27" s="64" t="s">
        <v>81</v>
      </c>
      <c r="E27" s="62" t="s">
        <v>37</v>
      </c>
      <c r="F27" s="62">
        <v>0</v>
      </c>
      <c r="G27" s="65">
        <v>5</v>
      </c>
      <c r="H27" s="67"/>
      <c r="I27" s="93"/>
      <c r="J27" s="94"/>
      <c r="K27" s="93"/>
      <c r="L27" s="95"/>
      <c r="XEW27"/>
      <c r="XEX27"/>
      <c r="XEY27"/>
      <c r="XEZ27"/>
      <c r="XFA27"/>
      <c r="XFB27"/>
      <c r="XFC27"/>
      <c r="XFD27"/>
    </row>
    <row r="28" spans="1:12 16376:16384" s="50" customFormat="1" ht="86.4" x14ac:dyDescent="0.15">
      <c r="A28" s="61">
        <v>22</v>
      </c>
      <c r="B28" s="62" t="s">
        <v>82</v>
      </c>
      <c r="C28" s="63" t="s">
        <v>80</v>
      </c>
      <c r="D28" s="64" t="s">
        <v>83</v>
      </c>
      <c r="E28" s="62" t="s">
        <v>37</v>
      </c>
      <c r="F28" s="62">
        <v>0</v>
      </c>
      <c r="G28" s="65">
        <v>1</v>
      </c>
      <c r="H28" s="67"/>
      <c r="I28" s="93"/>
      <c r="J28" s="94"/>
      <c r="K28" s="93"/>
      <c r="L28" s="95"/>
      <c r="XEW28"/>
      <c r="XEX28"/>
      <c r="XEY28"/>
      <c r="XEZ28"/>
      <c r="XFA28"/>
      <c r="XFB28"/>
      <c r="XFC28"/>
      <c r="XFD28"/>
    </row>
    <row r="29" spans="1:12 16376:16384" s="50" customFormat="1" ht="86.4" x14ac:dyDescent="0.15">
      <c r="A29" s="61">
        <v>23</v>
      </c>
      <c r="B29" s="62" t="s">
        <v>84</v>
      </c>
      <c r="C29" s="63" t="s">
        <v>80</v>
      </c>
      <c r="D29" s="64" t="s">
        <v>85</v>
      </c>
      <c r="E29" s="62" t="s">
        <v>37</v>
      </c>
      <c r="F29" s="62">
        <v>0</v>
      </c>
      <c r="G29" s="65">
        <v>5</v>
      </c>
      <c r="H29" s="67"/>
      <c r="I29" s="93"/>
      <c r="J29" s="94"/>
      <c r="K29" s="93"/>
      <c r="L29" s="95"/>
      <c r="XEV29"/>
      <c r="XEW29"/>
      <c r="XEX29"/>
      <c r="XEY29"/>
      <c r="XEZ29"/>
      <c r="XFA29"/>
      <c r="XFB29"/>
      <c r="XFC29"/>
      <c r="XFD29"/>
    </row>
    <row r="30" spans="1:12 16376:16384" s="50" customFormat="1" ht="86.4" x14ac:dyDescent="0.15">
      <c r="A30" s="61">
        <v>24</v>
      </c>
      <c r="B30" s="62" t="s">
        <v>86</v>
      </c>
      <c r="C30" s="63" t="s">
        <v>80</v>
      </c>
      <c r="D30" s="64" t="s">
        <v>87</v>
      </c>
      <c r="E30" s="62" t="s">
        <v>37</v>
      </c>
      <c r="F30" s="62">
        <v>0</v>
      </c>
      <c r="G30" s="65">
        <v>3</v>
      </c>
      <c r="H30" s="67"/>
      <c r="I30" s="93"/>
      <c r="J30" s="94"/>
      <c r="K30" s="93"/>
      <c r="L30" s="95"/>
      <c r="XEW30"/>
      <c r="XEX30"/>
      <c r="XEY30"/>
      <c r="XEZ30"/>
      <c r="XFA30"/>
      <c r="XFB30"/>
      <c r="XFC30"/>
      <c r="XFD30"/>
    </row>
    <row r="31" spans="1:12 16376:16384" s="50" customFormat="1" ht="86.4" x14ac:dyDescent="0.15">
      <c r="A31" s="61">
        <v>25</v>
      </c>
      <c r="B31" s="62" t="s">
        <v>88</v>
      </c>
      <c r="C31" s="63" t="s">
        <v>55</v>
      </c>
      <c r="D31" s="64" t="s">
        <v>89</v>
      </c>
      <c r="E31" s="62" t="s">
        <v>37</v>
      </c>
      <c r="F31" s="62">
        <v>0</v>
      </c>
      <c r="G31" s="65">
        <v>16</v>
      </c>
      <c r="H31" s="67"/>
      <c r="I31" s="93"/>
      <c r="J31" s="94"/>
      <c r="K31" s="93"/>
      <c r="L31" s="95"/>
      <c r="XEW31"/>
      <c r="XEX31"/>
      <c r="XEY31"/>
      <c r="XEZ31"/>
      <c r="XFA31"/>
      <c r="XFB31"/>
      <c r="XFC31"/>
      <c r="XFD31"/>
    </row>
    <row r="32" spans="1:12 16376:16384" s="50" customFormat="1" ht="86.4" x14ac:dyDescent="0.15">
      <c r="A32" s="61">
        <v>26</v>
      </c>
      <c r="B32" s="62" t="s">
        <v>90</v>
      </c>
      <c r="C32" s="63" t="s">
        <v>91</v>
      </c>
      <c r="D32" s="64" t="s">
        <v>92</v>
      </c>
      <c r="E32" s="62" t="s">
        <v>37</v>
      </c>
      <c r="F32" s="62">
        <v>0</v>
      </c>
      <c r="G32" s="65">
        <v>9</v>
      </c>
      <c r="H32" s="67"/>
      <c r="I32" s="93"/>
      <c r="J32" s="94"/>
      <c r="K32" s="93"/>
      <c r="L32" s="95"/>
      <c r="XEW32"/>
      <c r="XEX32"/>
      <c r="XEY32"/>
      <c r="XEZ32"/>
      <c r="XFA32"/>
      <c r="XFB32"/>
      <c r="XFC32"/>
      <c r="XFD32"/>
    </row>
    <row r="33" spans="1:12 16377:16384" s="50" customFormat="1" ht="97.2" x14ac:dyDescent="0.15">
      <c r="A33" s="61">
        <v>27</v>
      </c>
      <c r="B33" s="62" t="s">
        <v>93</v>
      </c>
      <c r="C33" s="63" t="s">
        <v>94</v>
      </c>
      <c r="D33" s="64" t="s">
        <v>95</v>
      </c>
      <c r="E33" s="62" t="s">
        <v>37</v>
      </c>
      <c r="F33" s="62">
        <v>0</v>
      </c>
      <c r="G33" s="65">
        <v>9</v>
      </c>
      <c r="H33" s="67"/>
      <c r="I33" s="93"/>
      <c r="J33" s="94"/>
      <c r="K33" s="93"/>
      <c r="L33" s="95"/>
      <c r="XEW33"/>
      <c r="XEX33"/>
      <c r="XEY33"/>
      <c r="XEZ33"/>
      <c r="XFA33"/>
      <c r="XFB33"/>
      <c r="XFC33"/>
      <c r="XFD33"/>
    </row>
    <row r="34" spans="1:12 16377:16384" s="50" customFormat="1" ht="97.2" x14ac:dyDescent="0.15">
      <c r="A34" s="61">
        <v>28</v>
      </c>
      <c r="B34" s="62" t="s">
        <v>96</v>
      </c>
      <c r="C34" s="63" t="s">
        <v>94</v>
      </c>
      <c r="D34" s="64" t="s">
        <v>97</v>
      </c>
      <c r="E34" s="62" t="s">
        <v>37</v>
      </c>
      <c r="F34" s="62">
        <v>0</v>
      </c>
      <c r="G34" s="65">
        <v>10</v>
      </c>
      <c r="H34" s="67"/>
      <c r="I34" s="93"/>
      <c r="J34" s="94"/>
      <c r="K34" s="93"/>
      <c r="L34" s="95"/>
      <c r="XEW34"/>
      <c r="XEX34"/>
      <c r="XEY34"/>
      <c r="XEZ34"/>
      <c r="XFA34"/>
      <c r="XFB34"/>
      <c r="XFC34"/>
      <c r="XFD34"/>
    </row>
    <row r="35" spans="1:12 16377:16384" s="50" customFormat="1" ht="97.2" x14ac:dyDescent="0.15">
      <c r="A35" s="68">
        <v>29</v>
      </c>
      <c r="B35" s="69" t="s">
        <v>98</v>
      </c>
      <c r="C35" s="70" t="s">
        <v>94</v>
      </c>
      <c r="D35" s="71" t="s">
        <v>99</v>
      </c>
      <c r="E35" s="69" t="s">
        <v>37</v>
      </c>
      <c r="F35" s="69">
        <v>0</v>
      </c>
      <c r="G35" s="72">
        <v>0</v>
      </c>
      <c r="H35" s="73"/>
      <c r="I35" s="96"/>
      <c r="J35" s="97"/>
      <c r="K35" s="96"/>
      <c r="L35" s="98"/>
      <c r="XEW35"/>
      <c r="XEX35"/>
      <c r="XEY35"/>
      <c r="XEZ35"/>
      <c r="XFA35"/>
      <c r="XFB35"/>
      <c r="XFC35"/>
      <c r="XFD35"/>
    </row>
    <row r="36" spans="1:12 16377:16384" s="50" customFormat="1" ht="86.4" x14ac:dyDescent="0.15">
      <c r="A36" s="68">
        <v>30</v>
      </c>
      <c r="B36" s="69" t="s">
        <v>100</v>
      </c>
      <c r="C36" s="70" t="s">
        <v>55</v>
      </c>
      <c r="D36" s="71" t="s">
        <v>101</v>
      </c>
      <c r="E36" s="69" t="s">
        <v>37</v>
      </c>
      <c r="F36" s="69">
        <v>0</v>
      </c>
      <c r="G36" s="72">
        <v>1</v>
      </c>
      <c r="H36" s="73"/>
      <c r="I36" s="96"/>
      <c r="J36" s="97"/>
      <c r="K36" s="96"/>
      <c r="L36" s="98"/>
      <c r="XEW36"/>
      <c r="XEX36"/>
      <c r="XEY36"/>
      <c r="XEZ36"/>
      <c r="XFA36"/>
      <c r="XFB36"/>
      <c r="XFC36"/>
      <c r="XFD36"/>
    </row>
    <row r="37" spans="1:12 16377:16384" s="50" customFormat="1" ht="97.2" x14ac:dyDescent="0.15">
      <c r="A37" s="61">
        <v>31</v>
      </c>
      <c r="B37" s="62" t="s">
        <v>102</v>
      </c>
      <c r="C37" s="63" t="s">
        <v>94</v>
      </c>
      <c r="D37" s="64" t="s">
        <v>103</v>
      </c>
      <c r="E37" s="62" t="s">
        <v>37</v>
      </c>
      <c r="F37" s="62">
        <v>0</v>
      </c>
      <c r="G37" s="65">
        <v>1</v>
      </c>
      <c r="H37" s="67"/>
      <c r="I37" s="93"/>
      <c r="J37" s="94"/>
      <c r="K37" s="93"/>
      <c r="L37" s="95"/>
      <c r="XEW37"/>
      <c r="XEX37"/>
      <c r="XEY37"/>
      <c r="XEZ37"/>
      <c r="XFA37"/>
      <c r="XFB37"/>
      <c r="XFC37"/>
      <c r="XFD37"/>
    </row>
    <row r="38" spans="1:12 16377:16384" s="50" customFormat="1" ht="97.2" x14ac:dyDescent="0.15">
      <c r="A38" s="61">
        <v>32</v>
      </c>
      <c r="B38" s="62" t="s">
        <v>104</v>
      </c>
      <c r="C38" s="63" t="s">
        <v>94</v>
      </c>
      <c r="D38" s="64" t="s">
        <v>105</v>
      </c>
      <c r="E38" s="62" t="s">
        <v>37</v>
      </c>
      <c r="F38" s="62">
        <v>0</v>
      </c>
      <c r="G38" s="65">
        <v>1</v>
      </c>
      <c r="H38" s="67"/>
      <c r="I38" s="93"/>
      <c r="J38" s="94"/>
      <c r="K38" s="93"/>
      <c r="L38" s="95"/>
      <c r="XEW38"/>
      <c r="XEX38"/>
      <c r="XEY38"/>
      <c r="XEZ38"/>
      <c r="XFA38"/>
      <c r="XFB38"/>
      <c r="XFC38"/>
      <c r="XFD38"/>
    </row>
    <row r="39" spans="1:12 16377:16384" s="50" customFormat="1" ht="86.4" x14ac:dyDescent="0.15">
      <c r="A39" s="68">
        <v>33</v>
      </c>
      <c r="B39" s="69" t="s">
        <v>106</v>
      </c>
      <c r="C39" s="70" t="s">
        <v>107</v>
      </c>
      <c r="D39" s="71" t="s">
        <v>108</v>
      </c>
      <c r="E39" s="69" t="s">
        <v>37</v>
      </c>
      <c r="F39" s="69">
        <v>0</v>
      </c>
      <c r="G39" s="72">
        <v>24</v>
      </c>
      <c r="H39" s="73"/>
      <c r="I39" s="96"/>
      <c r="J39" s="97"/>
      <c r="K39" s="96"/>
      <c r="L39" s="98"/>
      <c r="XEW39"/>
      <c r="XEX39"/>
      <c r="XEY39"/>
      <c r="XEZ39"/>
      <c r="XFA39"/>
      <c r="XFB39"/>
      <c r="XFC39"/>
      <c r="XFD39"/>
    </row>
    <row r="40" spans="1:12 16377:16384" s="50" customFormat="1" ht="86.4" x14ac:dyDescent="0.15">
      <c r="A40" s="68">
        <v>34</v>
      </c>
      <c r="B40" s="69" t="s">
        <v>109</v>
      </c>
      <c r="C40" s="70" t="s">
        <v>107</v>
      </c>
      <c r="D40" s="71" t="s">
        <v>110</v>
      </c>
      <c r="E40" s="69" t="s">
        <v>37</v>
      </c>
      <c r="F40" s="69">
        <v>0</v>
      </c>
      <c r="G40" s="72">
        <v>1</v>
      </c>
      <c r="H40" s="73"/>
      <c r="I40" s="96"/>
      <c r="J40" s="97"/>
      <c r="K40" s="96"/>
      <c r="L40" s="98"/>
      <c r="XEW40"/>
      <c r="XEX40"/>
      <c r="XEY40"/>
      <c r="XEZ40"/>
      <c r="XFA40"/>
      <c r="XFB40"/>
      <c r="XFC40"/>
      <c r="XFD40"/>
    </row>
    <row r="41" spans="1:12 16377:16384" s="50" customFormat="1" ht="86.4" x14ac:dyDescent="0.15">
      <c r="A41" s="61">
        <v>35</v>
      </c>
      <c r="B41" s="62" t="s">
        <v>111</v>
      </c>
      <c r="C41" s="63" t="s">
        <v>107</v>
      </c>
      <c r="D41" s="64" t="s">
        <v>112</v>
      </c>
      <c r="E41" s="62" t="s">
        <v>37</v>
      </c>
      <c r="F41" s="62">
        <v>0</v>
      </c>
      <c r="G41" s="65">
        <v>2</v>
      </c>
      <c r="H41" s="67"/>
      <c r="I41" s="93"/>
      <c r="J41" s="94"/>
      <c r="K41" s="93"/>
      <c r="L41" s="95"/>
      <c r="XEW41"/>
      <c r="XEX41"/>
      <c r="XEY41"/>
      <c r="XEZ41"/>
      <c r="XFA41"/>
      <c r="XFB41"/>
      <c r="XFC41"/>
      <c r="XFD41"/>
    </row>
    <row r="42" spans="1:12 16377:16384" s="50" customFormat="1" ht="86.4" x14ac:dyDescent="0.15">
      <c r="A42" s="61">
        <v>36</v>
      </c>
      <c r="B42" s="62" t="s">
        <v>113</v>
      </c>
      <c r="C42" s="63" t="s">
        <v>35</v>
      </c>
      <c r="D42" s="64" t="s">
        <v>114</v>
      </c>
      <c r="E42" s="62" t="s">
        <v>37</v>
      </c>
      <c r="F42" s="62">
        <v>0</v>
      </c>
      <c r="G42" s="65">
        <v>1</v>
      </c>
      <c r="H42" s="67"/>
      <c r="I42" s="93"/>
      <c r="J42" s="94"/>
      <c r="K42" s="93"/>
      <c r="L42" s="95"/>
      <c r="XEW42"/>
      <c r="XEX42"/>
      <c r="XEY42"/>
      <c r="XEZ42"/>
      <c r="XFA42"/>
      <c r="XFB42"/>
      <c r="XFC42"/>
      <c r="XFD42"/>
    </row>
    <row r="43" spans="1:12 16377:16384" s="50" customFormat="1" ht="75.599999999999994" x14ac:dyDescent="0.15">
      <c r="A43" s="61">
        <v>37</v>
      </c>
      <c r="B43" s="62" t="s">
        <v>115</v>
      </c>
      <c r="C43" s="63" t="s">
        <v>116</v>
      </c>
      <c r="D43" s="64" t="s">
        <v>117</v>
      </c>
      <c r="E43" s="62" t="s">
        <v>37</v>
      </c>
      <c r="F43" s="62">
        <v>0</v>
      </c>
      <c r="G43" s="65">
        <v>2</v>
      </c>
      <c r="H43" s="67"/>
      <c r="I43" s="93"/>
      <c r="J43" s="94"/>
      <c r="K43" s="93"/>
      <c r="L43" s="95"/>
      <c r="XEW43"/>
      <c r="XEX43"/>
      <c r="XEY43"/>
      <c r="XEZ43"/>
      <c r="XFA43"/>
      <c r="XFB43"/>
      <c r="XFC43"/>
      <c r="XFD43"/>
    </row>
    <row r="44" spans="1:12 16377:16384" s="50" customFormat="1" ht="86.4" x14ac:dyDescent="0.15">
      <c r="A44" s="61">
        <v>38</v>
      </c>
      <c r="B44" s="62" t="s">
        <v>118</v>
      </c>
      <c r="C44" s="63" t="s">
        <v>35</v>
      </c>
      <c r="D44" s="64" t="s">
        <v>119</v>
      </c>
      <c r="E44" s="62" t="s">
        <v>37</v>
      </c>
      <c r="F44" s="62">
        <v>0</v>
      </c>
      <c r="G44" s="65">
        <v>1</v>
      </c>
      <c r="H44" s="67"/>
      <c r="I44" s="93"/>
      <c r="J44" s="94"/>
      <c r="K44" s="93"/>
      <c r="L44" s="95"/>
      <c r="XEW44"/>
      <c r="XEX44"/>
      <c r="XEY44"/>
      <c r="XEZ44"/>
      <c r="XFA44"/>
      <c r="XFB44"/>
      <c r="XFC44"/>
      <c r="XFD44"/>
    </row>
    <row r="45" spans="1:12 16377:16384" s="50" customFormat="1" ht="86.4" x14ac:dyDescent="0.15">
      <c r="A45" s="68">
        <v>39</v>
      </c>
      <c r="B45" s="69" t="s">
        <v>120</v>
      </c>
      <c r="C45" s="70" t="s">
        <v>121</v>
      </c>
      <c r="D45" s="71" t="s">
        <v>122</v>
      </c>
      <c r="E45" s="69" t="s">
        <v>37</v>
      </c>
      <c r="F45" s="69">
        <v>0</v>
      </c>
      <c r="G45" s="72">
        <v>0</v>
      </c>
      <c r="H45" s="73"/>
      <c r="I45" s="96"/>
      <c r="J45" s="97"/>
      <c r="K45" s="96"/>
      <c r="L45" s="98"/>
      <c r="XEW45"/>
      <c r="XEX45"/>
      <c r="XEY45"/>
      <c r="XEZ45"/>
      <c r="XFA45"/>
      <c r="XFB45"/>
      <c r="XFC45"/>
      <c r="XFD45"/>
    </row>
    <row r="46" spans="1:12 16377:16384" s="50" customFormat="1" ht="86.4" x14ac:dyDescent="0.15">
      <c r="A46" s="68">
        <v>40</v>
      </c>
      <c r="B46" s="69" t="s">
        <v>123</v>
      </c>
      <c r="C46" s="70" t="s">
        <v>121</v>
      </c>
      <c r="D46" s="71" t="s">
        <v>124</v>
      </c>
      <c r="E46" s="69" t="s">
        <v>37</v>
      </c>
      <c r="F46" s="69">
        <v>0</v>
      </c>
      <c r="G46" s="72">
        <v>1</v>
      </c>
      <c r="H46" s="73"/>
      <c r="I46" s="96"/>
      <c r="J46" s="97"/>
      <c r="K46" s="96"/>
      <c r="L46" s="98"/>
      <c r="XEW46"/>
      <c r="XEX46"/>
      <c r="XEY46"/>
      <c r="XEZ46"/>
      <c r="XFA46"/>
      <c r="XFB46"/>
      <c r="XFC46"/>
      <c r="XFD46"/>
    </row>
    <row r="47" spans="1:12 16377:16384" s="50" customFormat="1" ht="86.4" x14ac:dyDescent="0.15">
      <c r="A47" s="61">
        <v>41</v>
      </c>
      <c r="B47" s="62" t="s">
        <v>125</v>
      </c>
      <c r="C47" s="63" t="s">
        <v>121</v>
      </c>
      <c r="D47" s="64" t="s">
        <v>126</v>
      </c>
      <c r="E47" s="62" t="s">
        <v>37</v>
      </c>
      <c r="F47" s="62">
        <v>0</v>
      </c>
      <c r="G47" s="65">
        <v>2</v>
      </c>
      <c r="H47" s="67"/>
      <c r="I47" s="93"/>
      <c r="J47" s="94"/>
      <c r="K47" s="93"/>
      <c r="L47" s="95"/>
      <c r="XEW47"/>
      <c r="XEX47"/>
      <c r="XEY47"/>
      <c r="XEZ47"/>
      <c r="XFA47"/>
      <c r="XFB47"/>
      <c r="XFC47"/>
      <c r="XFD47"/>
    </row>
    <row r="48" spans="1:12 16377:16384" s="50" customFormat="1" ht="86.4" x14ac:dyDescent="0.15">
      <c r="A48" s="68">
        <v>42</v>
      </c>
      <c r="B48" s="69" t="s">
        <v>127</v>
      </c>
      <c r="C48" s="70" t="s">
        <v>35</v>
      </c>
      <c r="D48" s="71" t="s">
        <v>128</v>
      </c>
      <c r="E48" s="69" t="s">
        <v>37</v>
      </c>
      <c r="F48" s="69">
        <v>0</v>
      </c>
      <c r="G48" s="72">
        <v>1</v>
      </c>
      <c r="H48" s="73"/>
      <c r="I48" s="96"/>
      <c r="J48" s="97"/>
      <c r="K48" s="96"/>
      <c r="L48" s="98"/>
      <c r="XEW48"/>
      <c r="XEX48"/>
      <c r="XEY48"/>
      <c r="XEZ48"/>
      <c r="XFA48"/>
      <c r="XFB48"/>
      <c r="XFC48"/>
      <c r="XFD48"/>
    </row>
    <row r="49" spans="1:16 16377:16384" s="50" customFormat="1" ht="86.4" x14ac:dyDescent="0.15">
      <c r="A49" s="61">
        <v>43</v>
      </c>
      <c r="B49" s="62" t="s">
        <v>129</v>
      </c>
      <c r="C49" s="63" t="s">
        <v>121</v>
      </c>
      <c r="D49" s="64" t="s">
        <v>130</v>
      </c>
      <c r="E49" s="62" t="s">
        <v>37</v>
      </c>
      <c r="F49" s="62">
        <v>0</v>
      </c>
      <c r="G49" s="65">
        <v>1</v>
      </c>
      <c r="H49" s="67"/>
      <c r="I49" s="93"/>
      <c r="J49" s="94"/>
      <c r="K49" s="93"/>
      <c r="L49" s="95"/>
      <c r="XEW49"/>
      <c r="XEX49"/>
      <c r="XEY49"/>
      <c r="XEZ49"/>
      <c r="XFA49"/>
      <c r="XFB49"/>
      <c r="XFC49"/>
      <c r="XFD49"/>
    </row>
    <row r="50" spans="1:16 16377:16384" s="50" customFormat="1" ht="86.4" x14ac:dyDescent="0.15">
      <c r="A50" s="68">
        <v>44</v>
      </c>
      <c r="B50" s="69" t="s">
        <v>131</v>
      </c>
      <c r="C50" s="74" t="s">
        <v>132</v>
      </c>
      <c r="D50" s="71" t="s">
        <v>320</v>
      </c>
      <c r="E50" s="69" t="s">
        <v>37</v>
      </c>
      <c r="F50" s="69">
        <v>0</v>
      </c>
      <c r="G50" s="72">
        <v>1</v>
      </c>
      <c r="H50" s="73"/>
      <c r="I50" s="96"/>
      <c r="J50" s="97"/>
      <c r="K50" s="96"/>
      <c r="L50" s="98"/>
      <c r="XEW50"/>
      <c r="XEX50"/>
      <c r="XEY50"/>
      <c r="XEZ50"/>
      <c r="XFA50"/>
      <c r="XFB50"/>
      <c r="XFC50"/>
      <c r="XFD50"/>
    </row>
    <row r="51" spans="1:16 16377:16384" s="50" customFormat="1" ht="86.4" x14ac:dyDescent="0.15">
      <c r="A51" s="68">
        <v>45</v>
      </c>
      <c r="B51" s="69" t="s">
        <v>133</v>
      </c>
      <c r="C51" s="74" t="s">
        <v>132</v>
      </c>
      <c r="D51" s="71" t="s">
        <v>321</v>
      </c>
      <c r="E51" s="69" t="s">
        <v>37</v>
      </c>
      <c r="F51" s="69">
        <v>0</v>
      </c>
      <c r="G51" s="72">
        <v>1</v>
      </c>
      <c r="H51" s="73"/>
      <c r="I51" s="96"/>
      <c r="J51" s="97"/>
      <c r="K51" s="96"/>
      <c r="L51" s="98"/>
      <c r="XEW51"/>
      <c r="XEX51"/>
      <c r="XEY51"/>
      <c r="XEZ51"/>
      <c r="XFA51"/>
      <c r="XFB51"/>
      <c r="XFC51"/>
      <c r="XFD51"/>
    </row>
    <row r="52" spans="1:16 16377:16384" s="50" customFormat="1" ht="86.4" x14ac:dyDescent="0.15">
      <c r="A52" s="61">
        <v>46</v>
      </c>
      <c r="B52" s="62" t="s">
        <v>134</v>
      </c>
      <c r="C52" s="63" t="s">
        <v>121</v>
      </c>
      <c r="D52" s="64" t="s">
        <v>135</v>
      </c>
      <c r="E52" s="62" t="s">
        <v>37</v>
      </c>
      <c r="F52" s="62">
        <v>0</v>
      </c>
      <c r="G52" s="65">
        <v>1</v>
      </c>
      <c r="H52" s="67"/>
      <c r="I52" s="93"/>
      <c r="J52" s="94"/>
      <c r="K52" s="93"/>
      <c r="L52" s="95"/>
      <c r="XEW52"/>
      <c r="XEX52"/>
      <c r="XEY52"/>
      <c r="XEZ52"/>
      <c r="XFA52"/>
      <c r="XFB52"/>
      <c r="XFC52"/>
      <c r="XFD52"/>
    </row>
    <row r="53" spans="1:16 16377:16384" s="50" customFormat="1" ht="86.4" x14ac:dyDescent="0.15">
      <c r="A53" s="61">
        <v>47</v>
      </c>
      <c r="B53" s="62" t="s">
        <v>136</v>
      </c>
      <c r="C53" s="63" t="s">
        <v>121</v>
      </c>
      <c r="D53" s="64" t="s">
        <v>137</v>
      </c>
      <c r="E53" s="62" t="s">
        <v>37</v>
      </c>
      <c r="F53" s="62">
        <v>0</v>
      </c>
      <c r="G53" s="65">
        <v>1</v>
      </c>
      <c r="H53" s="67"/>
      <c r="I53" s="93"/>
      <c r="J53" s="94"/>
      <c r="K53" s="93"/>
      <c r="L53" s="95"/>
      <c r="XEW53"/>
      <c r="XEX53"/>
      <c r="XEY53"/>
      <c r="XEZ53"/>
      <c r="XFA53"/>
      <c r="XFB53"/>
      <c r="XFC53"/>
      <c r="XFD53"/>
    </row>
    <row r="54" spans="1:16 16377:16384" s="50" customFormat="1" ht="86.4" x14ac:dyDescent="0.15">
      <c r="A54" s="68">
        <v>48</v>
      </c>
      <c r="B54" s="69" t="s">
        <v>138</v>
      </c>
      <c r="C54" s="77" t="s">
        <v>35</v>
      </c>
      <c r="D54" s="71" t="s">
        <v>139</v>
      </c>
      <c r="E54" s="69" t="s">
        <v>37</v>
      </c>
      <c r="F54" s="69">
        <v>0</v>
      </c>
      <c r="G54" s="72">
        <v>1</v>
      </c>
      <c r="H54" s="73"/>
      <c r="I54" s="96"/>
      <c r="J54" s="97"/>
      <c r="K54" s="96"/>
      <c r="L54" s="98"/>
      <c r="XEW54"/>
      <c r="XEX54"/>
      <c r="XEY54"/>
      <c r="XEZ54"/>
      <c r="XFA54"/>
      <c r="XFB54"/>
      <c r="XFC54"/>
      <c r="XFD54"/>
    </row>
    <row r="55" spans="1:16 16377:16384" s="52" customFormat="1" ht="86.4" x14ac:dyDescent="0.25">
      <c r="A55" s="61">
        <v>49</v>
      </c>
      <c r="B55" s="62" t="s">
        <v>140</v>
      </c>
      <c r="C55" s="76" t="s">
        <v>62</v>
      </c>
      <c r="D55" s="78" t="s">
        <v>141</v>
      </c>
      <c r="E55" s="62" t="s">
        <v>37</v>
      </c>
      <c r="F55" s="62">
        <v>0</v>
      </c>
      <c r="G55" s="79">
        <v>1</v>
      </c>
      <c r="H55" s="80"/>
      <c r="I55" s="99"/>
      <c r="J55" s="94"/>
      <c r="K55" s="99"/>
      <c r="L55" s="100"/>
      <c r="XEW55" s="107"/>
      <c r="XEX55" s="107"/>
      <c r="XEY55" s="107"/>
      <c r="XEZ55" s="107"/>
      <c r="XFA55" s="107"/>
      <c r="XFB55" s="107"/>
      <c r="XFC55" s="107"/>
      <c r="XFD55" s="107"/>
    </row>
    <row r="56" spans="1:16 16377:16384" s="52" customFormat="1" ht="86.4" x14ac:dyDescent="0.25">
      <c r="A56" s="68">
        <v>50</v>
      </c>
      <c r="B56" s="69" t="s">
        <v>142</v>
      </c>
      <c r="C56" s="77" t="s">
        <v>35</v>
      </c>
      <c r="D56" s="81" t="s">
        <v>143</v>
      </c>
      <c r="E56" s="69" t="s">
        <v>37</v>
      </c>
      <c r="F56" s="82">
        <v>0</v>
      </c>
      <c r="G56" s="83">
        <v>6</v>
      </c>
      <c r="H56" s="84"/>
      <c r="I56" s="101"/>
      <c r="J56" s="97"/>
      <c r="K56" s="101"/>
      <c r="L56" s="102"/>
      <c r="XEW56" s="107"/>
      <c r="XEX56" s="107"/>
      <c r="XEY56" s="107"/>
      <c r="XEZ56" s="107"/>
      <c r="XFA56" s="107"/>
      <c r="XFB56" s="107"/>
      <c r="XFC56" s="107"/>
      <c r="XFD56" s="107"/>
    </row>
    <row r="57" spans="1:16 16377:16384" s="52" customFormat="1" ht="86.4" x14ac:dyDescent="0.25">
      <c r="A57" s="68">
        <v>51</v>
      </c>
      <c r="B57" s="69" t="s">
        <v>144</v>
      </c>
      <c r="C57" s="77" t="s">
        <v>35</v>
      </c>
      <c r="D57" s="81" t="s">
        <v>145</v>
      </c>
      <c r="E57" s="69" t="s">
        <v>37</v>
      </c>
      <c r="F57" s="82">
        <v>0</v>
      </c>
      <c r="G57" s="83">
        <v>28</v>
      </c>
      <c r="H57" s="84"/>
      <c r="I57" s="101"/>
      <c r="J57" s="97"/>
      <c r="K57" s="101"/>
      <c r="L57" s="102"/>
      <c r="P57" s="52" t="s">
        <v>146</v>
      </c>
      <c r="XEW57" s="107"/>
      <c r="XEX57" s="107"/>
      <c r="XEY57" s="107"/>
      <c r="XEZ57" s="107"/>
      <c r="XFA57" s="107"/>
      <c r="XFB57" s="107"/>
      <c r="XFC57" s="107"/>
      <c r="XFD57" s="107"/>
    </row>
    <row r="58" spans="1:16 16377:16384" s="52" customFormat="1" ht="25.05" customHeight="1" x14ac:dyDescent="0.25">
      <c r="A58" s="132" t="s">
        <v>18</v>
      </c>
      <c r="B58" s="133"/>
      <c r="C58" s="133"/>
      <c r="D58" s="133"/>
      <c r="E58" s="86"/>
      <c r="F58" s="85">
        <f>SUM(F7:F7)</f>
        <v>0</v>
      </c>
      <c r="G58" s="87">
        <f>SUM(G7:G57)</f>
        <v>432</v>
      </c>
      <c r="H58" s="86"/>
      <c r="I58" s="103"/>
      <c r="J58" s="104"/>
      <c r="K58" s="103"/>
      <c r="L58" s="105"/>
      <c r="XEW58" s="107"/>
      <c r="XEX58" s="107"/>
      <c r="XEY58" s="107"/>
      <c r="XEZ58" s="107"/>
      <c r="XFA58" s="107"/>
      <c r="XFB58" s="107"/>
      <c r="XFC58" s="107"/>
      <c r="XFD58" s="107"/>
    </row>
  </sheetData>
  <mergeCells count="16">
    <mergeCell ref="L3:L5"/>
    <mergeCell ref="A1:K1"/>
    <mergeCell ref="A2:I2"/>
    <mergeCell ref="H3:K3"/>
    <mergeCell ref="A58:D58"/>
    <mergeCell ref="A3:A5"/>
    <mergeCell ref="B3:B5"/>
    <mergeCell ref="C3:C5"/>
    <mergeCell ref="D3:D5"/>
    <mergeCell ref="E3:E5"/>
    <mergeCell ref="F3:F5"/>
    <mergeCell ref="G3:G5"/>
    <mergeCell ref="H4:H5"/>
    <mergeCell ref="I4:I5"/>
    <mergeCell ref="J4:J5"/>
    <mergeCell ref="K4:K5"/>
  </mergeCells>
  <phoneticPr fontId="18" type="noConversion"/>
  <printOptions horizontalCentered="1"/>
  <pageMargins left="0.19975000000000001" right="0.19975000000000001" top="0.59375" bottom="0" header="0.59375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K27"/>
  <sheetViews>
    <sheetView view="pageBreakPreview" zoomScale="70" zoomScaleNormal="100" workbookViewId="0">
      <selection activeCell="P15" sqref="P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151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24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24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>
        <v>1</v>
      </c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K27"/>
  <sheetViews>
    <sheetView view="pageBreakPreview" zoomScale="70" zoomScaleNormal="100" workbookViewId="0">
      <selection activeCell="L9" sqref="L8:L9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2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165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24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24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2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2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K27"/>
  <sheetViews>
    <sheetView view="pageBreakPreview" zoomScale="115" zoomScaleNormal="100" workbookViewId="0">
      <selection activeCell="J7" sqref="J7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166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24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24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>
        <v>1</v>
      </c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K27"/>
  <sheetViews>
    <sheetView view="pageBreakPreview" zoomScale="85" zoomScaleNormal="100" workbookViewId="0">
      <selection activeCell="K9" sqref="K9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8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167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24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24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>
        <v>8</v>
      </c>
      <c r="H19" s="26"/>
    </row>
    <row r="20" spans="1:8" s="1" customFormat="1" ht="24.9" customHeight="1" x14ac:dyDescent="0.25">
      <c r="A20" s="27"/>
      <c r="B20" s="28"/>
      <c r="C20" s="2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8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K27"/>
  <sheetViews>
    <sheetView view="pageBreakPreview" zoomScale="85" zoomScaleNormal="100" workbookViewId="0">
      <selection activeCell="L10" sqref="L10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55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168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K27"/>
  <sheetViews>
    <sheetView view="pageBreakPreview" zoomScale="85" zoomScaleNormal="100" workbookViewId="0">
      <selection activeCell="L7" sqref="L7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169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1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K27"/>
  <sheetViews>
    <sheetView view="pageBreakPreview" zoomScale="85" zoomScaleNormal="100" workbookViewId="0">
      <selection activeCell="R19" sqref="R19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/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13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170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2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8">
        <v>2</v>
      </c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8">
        <v>2</v>
      </c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8">
        <v>2</v>
      </c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>
        <v>1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>
        <v>1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>
        <v>1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>
        <v>1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1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13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K27"/>
  <sheetViews>
    <sheetView view="pageBreakPreview" zoomScale="70" zoomScaleNormal="100" workbookViewId="0">
      <selection activeCell="Q11" sqref="Q11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222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171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20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24">
        <v>20</v>
      </c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24">
        <v>26</v>
      </c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>
        <v>26</v>
      </c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>
        <v>26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>
        <v>26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>
        <v>26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>
        <v>26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26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222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K27"/>
  <sheetViews>
    <sheetView view="pageBreakPreview" zoomScale="70" zoomScaleNormal="100" workbookViewId="0">
      <selection activeCell="M9" sqref="M9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55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10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172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1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8">
        <v>1</v>
      </c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8">
        <v>1</v>
      </c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8">
        <v>1</v>
      </c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8">
        <v>1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8">
        <v>1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8">
        <v>1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8">
        <v>1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8">
        <v>1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10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K27"/>
  <sheetViews>
    <sheetView view="pageBreakPreview" zoomScaleNormal="100" workbookViewId="0">
      <selection activeCell="L9" sqref="L9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55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173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K27"/>
  <sheetViews>
    <sheetView view="pageBreakPreview" zoomScale="70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23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174</v>
      </c>
      <c r="C8" s="17" t="s">
        <v>152</v>
      </c>
      <c r="D8" s="8"/>
      <c r="E8" s="8"/>
      <c r="F8" s="8"/>
      <c r="G8" s="8">
        <v>2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8">
        <v>2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2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8">
        <v>2</v>
      </c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8">
        <v>2</v>
      </c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8">
        <v>2</v>
      </c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8">
        <v>2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8">
        <v>2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8">
        <v>2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8">
        <v>2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8">
        <v>2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>
        <v>1</v>
      </c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23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</sheetPr>
  <dimension ref="A1:K27"/>
  <sheetViews>
    <sheetView view="pageBreakPreview" zoomScale="8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175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K27"/>
  <sheetViews>
    <sheetView view="pageBreakPreview" zoomScale="8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62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3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176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2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3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1:K27"/>
  <sheetViews>
    <sheetView view="pageBreakPreview" zoomScale="70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62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177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1:K27"/>
  <sheetViews>
    <sheetView view="pageBreakPreview" zoomScale="8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62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178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</sheetPr>
  <dimension ref="A1:K27"/>
  <sheetViews>
    <sheetView view="pageBreakPreview" topLeftCell="A2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69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不锈钢防火门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179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</sheetPr>
  <dimension ref="A1:K27"/>
  <sheetViews>
    <sheetView view="pageBreakPreview" zoomScale="70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62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180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24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24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1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1:K27"/>
  <sheetViews>
    <sheetView view="pageBreakPreview" zoomScale="8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62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2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181</v>
      </c>
      <c r="C8" s="17" t="s">
        <v>152</v>
      </c>
      <c r="D8" s="8"/>
      <c r="E8" s="8"/>
      <c r="F8" s="8"/>
      <c r="G8" s="8">
        <v>2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2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K27"/>
  <sheetViews>
    <sheetView view="pageBreakPreview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62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182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</sheetPr>
  <dimension ref="A1:K27"/>
  <sheetViews>
    <sheetView view="pageBreakPreview" zoomScale="70" zoomScaleNormal="100" workbookViewId="0">
      <selection activeCell="J8" sqref="J8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62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183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</sheetPr>
  <dimension ref="A1:K27"/>
  <sheetViews>
    <sheetView view="pageBreakPreview" zoomScale="70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80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5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不锈钢平开门（带观察窗）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184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5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5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</sheetPr>
  <dimension ref="A1:K27"/>
  <sheetViews>
    <sheetView view="pageBreakPreview" zoomScale="70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80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不锈钢平开门（带观察窗）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185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A1:K27"/>
  <sheetViews>
    <sheetView view="pageBreakPreview" zoomScale="8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80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5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不锈钢平开门（带观察窗）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186</v>
      </c>
      <c r="C8" s="17" t="s">
        <v>152</v>
      </c>
      <c r="D8" s="8"/>
      <c r="E8" s="8"/>
      <c r="F8" s="8"/>
      <c r="G8" s="8">
        <v>5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5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92D050"/>
  </sheetPr>
  <dimension ref="A1:K27"/>
  <sheetViews>
    <sheetView view="pageBreakPreview" zoomScale="8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80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3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不锈钢平开门（带观察窗）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187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2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3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92D050"/>
  </sheetPr>
  <dimension ref="A1:K27"/>
  <sheetViews>
    <sheetView view="pageBreakPreview" zoomScaleNormal="100" workbookViewId="0">
      <selection activeCell="G11" sqref="G11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55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16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188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24">
        <v>1</v>
      </c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24">
        <v>2</v>
      </c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>
        <v>2</v>
      </c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>
        <v>2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>
        <v>2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>
        <v>2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>
        <v>2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2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16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92D050"/>
  </sheetPr>
  <dimension ref="A1:K27"/>
  <sheetViews>
    <sheetView view="pageBreakPreview" topLeftCell="A3" zoomScale="115" zoomScaleNormal="100" workbookViewId="0">
      <selection activeCell="K8" sqref="K8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91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9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钢制装饰平开门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189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1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8">
        <v>1</v>
      </c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8">
        <v>1</v>
      </c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8">
        <v>1</v>
      </c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8">
        <v>1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8">
        <v>1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8">
        <v>1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8">
        <v>1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8">
        <v>1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9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92D050"/>
  </sheetPr>
  <dimension ref="A1:K27"/>
  <sheetViews>
    <sheetView view="pageBreakPreview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94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9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钢质装饰防火门（带观察窗）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190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1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8">
        <v>1</v>
      </c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8">
        <v>1</v>
      </c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8">
        <v>1</v>
      </c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8">
        <v>1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8">
        <v>1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8">
        <v>1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8">
        <v>1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8">
        <v>1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9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92D050"/>
  </sheetPr>
  <dimension ref="A1:K27"/>
  <sheetViews>
    <sheetView view="pageBreakPreview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94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10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钢质装饰防火门（带观察窗）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191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1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24">
        <v>1</v>
      </c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24">
        <v>1</v>
      </c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>
        <v>1</v>
      </c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>
        <v>1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>
        <v>1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>
        <v>1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>
        <v>1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1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/>
      <c r="H19" s="26"/>
    </row>
    <row r="20" spans="1:8" s="1" customFormat="1" ht="24.9" customHeight="1" x14ac:dyDescent="0.25">
      <c r="A20" s="27"/>
      <c r="B20" s="28"/>
      <c r="C20" s="2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10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92D050"/>
  </sheetPr>
  <dimension ref="A1:K27"/>
  <sheetViews>
    <sheetView view="pageBreakPreview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94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钢质装饰防火门（带观察窗）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192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92D050"/>
  </sheetPr>
  <dimension ref="A1:K27"/>
  <sheetViews>
    <sheetView view="pageBreakPreview" zoomScale="11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94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钢质装饰防火门（带观察窗）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193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92D050"/>
  </sheetPr>
  <dimension ref="A1:K27"/>
  <sheetViews>
    <sheetView view="pageBreakPreview" zoomScale="11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94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钢质装饰防火门（带观察窗）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194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92D050"/>
  </sheetPr>
  <dimension ref="A1:K27"/>
  <sheetViews>
    <sheetView view="pageBreakPreview" topLeftCell="A4" zoomScale="11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107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24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钢制防火门(带观察窗)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195</v>
      </c>
      <c r="C8" s="17" t="s">
        <v>152</v>
      </c>
      <c r="D8" s="8"/>
      <c r="E8" s="8"/>
      <c r="F8" s="8"/>
      <c r="G8" s="8">
        <v>4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2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24">
        <v>2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24">
        <v>2</v>
      </c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24">
        <v>2</v>
      </c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>
        <v>2</v>
      </c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>
        <v>2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>
        <v>2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>
        <v>2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>
        <v>2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2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24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92D050"/>
  </sheetPr>
  <dimension ref="A1:K27"/>
  <sheetViews>
    <sheetView view="pageBreakPreview" zoomScale="11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94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钢质装饰防火门（带观察窗）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196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92D050"/>
  </sheetPr>
  <dimension ref="A1:K27"/>
  <sheetViews>
    <sheetView view="pageBreakPreview" zoomScale="11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/>
      <c r="C3" s="108"/>
      <c r="D3" s="109"/>
      <c r="E3" s="8" t="s">
        <v>6</v>
      </c>
      <c r="F3" s="121" t="s">
        <v>107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2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49" t="str">
        <f>F3</f>
        <v>钢制防火门(带观察窗)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197</v>
      </c>
      <c r="C8" s="17" t="s">
        <v>152</v>
      </c>
      <c r="D8" s="8"/>
      <c r="E8" s="8"/>
      <c r="F8" s="8"/>
      <c r="G8" s="8">
        <v>2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2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92D050"/>
  </sheetPr>
  <dimension ref="A1:K27"/>
  <sheetViews>
    <sheetView view="pageBreakPreview" zoomScale="11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198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92D050"/>
  </sheetPr>
  <dimension ref="A1:K27"/>
  <sheetViews>
    <sheetView view="pageBreakPreview" zoomScale="8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116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2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钢质平开门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199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1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2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92D050"/>
  </sheetPr>
  <dimension ref="A1:K27"/>
  <sheetViews>
    <sheetView view="pageBreakPreview" zoomScale="11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200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92D050"/>
  </sheetPr>
  <dimension ref="A1:K27"/>
  <sheetViews>
    <sheetView view="pageBreakPreview" zoomScale="11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7" max="7" width="9" style="48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121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40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钢制装饰防火门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201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24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24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1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24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24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24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24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24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24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24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24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92D050"/>
  </sheetPr>
  <dimension ref="A1:K27"/>
  <sheetViews>
    <sheetView view="pageBreakPreview" zoomScale="85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121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2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钢制装饰防火门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202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2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2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92D050"/>
  </sheetPr>
  <dimension ref="A1:K27"/>
  <sheetViews>
    <sheetView view="pageBreakPreview" zoomScale="70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203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1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92D050"/>
  </sheetPr>
  <dimension ref="A1:K27"/>
  <sheetViews>
    <sheetView view="pageBreakPreview" zoomScale="70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121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钢制装饰防火门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204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1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FFFF00"/>
  </sheetPr>
  <dimension ref="A1:K27"/>
  <sheetViews>
    <sheetView tabSelected="1" view="pageBreakPreview" zoomScale="70" zoomScaleNormal="100" workbookViewId="0">
      <selection activeCell="R26" sqref="R26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322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钢质保温门（带观察窗）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205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1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FFFF00"/>
  </sheetPr>
  <dimension ref="A1:K27"/>
  <sheetViews>
    <sheetView view="pageBreakPreview" zoomScale="70" zoomScaleNormal="100" workbookViewId="0">
      <selection activeCell="O21" sqref="O21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323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钢制保温门（带观察窗）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206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1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92D050"/>
  </sheetPr>
  <dimension ref="A1:K27"/>
  <sheetViews>
    <sheetView view="pageBreakPreview" zoomScale="70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121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钢制装饰防火门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207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1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92D050"/>
  </sheetPr>
  <dimension ref="A1:K27"/>
  <sheetViews>
    <sheetView view="pageBreakPreview" zoomScale="70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121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钢制装饰防火门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208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1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92D050"/>
  </sheetPr>
  <dimension ref="A1:K27"/>
  <sheetViews>
    <sheetView view="pageBreakPreview" zoomScale="85" zoomScaleNormal="100" workbookViewId="0">
      <selection activeCell="L7" sqref="L7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35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">
        <v>35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209</v>
      </c>
      <c r="C8" s="17" t="s">
        <v>152</v>
      </c>
      <c r="D8" s="8"/>
      <c r="E8" s="8"/>
      <c r="F8" s="8"/>
      <c r="G8" s="8">
        <v>1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/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92D050"/>
  </sheetPr>
  <dimension ref="A1:K27"/>
  <sheetViews>
    <sheetView view="pageBreakPreview" zoomScale="70" zoomScaleNormal="100" workbookViewId="0">
      <selection activeCell="F2" sqref="F2:H2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55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1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210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18"/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18"/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18"/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18"/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18"/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1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92D050"/>
  </sheetPr>
  <dimension ref="A1:K27"/>
  <sheetViews>
    <sheetView view="pageBreakPreview" zoomScale="70" zoomScaleNormal="100" workbookViewId="0">
      <selection activeCell="Q11" sqref="P9:Q11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55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6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211</v>
      </c>
      <c r="C8" s="17" t="s">
        <v>152</v>
      </c>
      <c r="D8" s="8"/>
      <c r="E8" s="8"/>
      <c r="F8" s="8"/>
      <c r="G8" s="8"/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24">
        <v>1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/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18"/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18"/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24"/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>
        <v>1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>
        <v>1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>
        <v>1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>
        <v>1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1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6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92D050"/>
  </sheetPr>
  <dimension ref="A1:K27"/>
  <sheetViews>
    <sheetView view="pageBreakPreview" zoomScale="70" zoomScaleNormal="100" workbookViewId="0">
      <selection activeCell="V29" sqref="V29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11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1" s="1" customFormat="1" ht="37.950000000000003" customHeight="1" x14ac:dyDescent="0.25">
      <c r="A2" s="4" t="s">
        <v>1</v>
      </c>
      <c r="B2" s="141" t="s">
        <v>147</v>
      </c>
      <c r="C2" s="141"/>
      <c r="D2" s="142"/>
      <c r="E2" s="5" t="s">
        <v>3</v>
      </c>
      <c r="F2" s="118"/>
      <c r="G2" s="119"/>
      <c r="H2" s="120"/>
    </row>
    <row r="3" spans="1:11" s="1" customFormat="1" ht="24.9" customHeight="1" x14ac:dyDescent="0.25">
      <c r="A3" s="6" t="s">
        <v>4</v>
      </c>
      <c r="B3" s="108" t="s">
        <v>148</v>
      </c>
      <c r="C3" s="108"/>
      <c r="D3" s="109"/>
      <c r="E3" s="8" t="s">
        <v>6</v>
      </c>
      <c r="F3" s="121" t="s">
        <v>55</v>
      </c>
      <c r="G3" s="122"/>
      <c r="H3" s="123"/>
    </row>
    <row r="4" spans="1:11" s="1" customFormat="1" ht="24.9" customHeight="1" x14ac:dyDescent="0.25">
      <c r="A4" s="9" t="s">
        <v>7</v>
      </c>
      <c r="B4" s="108" t="s">
        <v>37</v>
      </c>
      <c r="C4" s="108"/>
      <c r="D4" s="109"/>
      <c r="E4" s="8" t="s">
        <v>8</v>
      </c>
      <c r="F4" s="110">
        <f>G27</f>
        <v>28</v>
      </c>
      <c r="G4" s="110"/>
      <c r="H4" s="111"/>
    </row>
    <row r="5" spans="1:11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11" s="1" customFormat="1" ht="24.9" customHeight="1" x14ac:dyDescent="0.25">
      <c r="A6" s="9" t="s">
        <v>10</v>
      </c>
      <c r="B6" s="7" t="s">
        <v>11</v>
      </c>
      <c r="C6" s="8" t="s">
        <v>149</v>
      </c>
      <c r="D6" s="8" t="s">
        <v>12</v>
      </c>
      <c r="E6" s="8" t="s">
        <v>13</v>
      </c>
      <c r="F6" s="8" t="s">
        <v>14</v>
      </c>
      <c r="G6" s="8" t="s">
        <v>150</v>
      </c>
      <c r="H6" s="11" t="s">
        <v>27</v>
      </c>
    </row>
    <row r="7" spans="1:11" s="1" customFormat="1" ht="24.9" customHeight="1" x14ac:dyDescent="0.25">
      <c r="A7" s="12" t="s">
        <v>32</v>
      </c>
      <c r="B7" s="37" t="str">
        <f>F3</f>
        <v>钢质装饰防火门</v>
      </c>
      <c r="C7" s="8"/>
      <c r="D7" s="8"/>
      <c r="E7" s="8"/>
      <c r="F7" s="14"/>
      <c r="G7" s="8"/>
      <c r="H7" s="45"/>
    </row>
    <row r="8" spans="1:11" s="1" customFormat="1" ht="24.9" customHeight="1" x14ac:dyDescent="0.25">
      <c r="A8" s="9">
        <v>1</v>
      </c>
      <c r="B8" s="17" t="s">
        <v>212</v>
      </c>
      <c r="C8" s="17" t="s">
        <v>152</v>
      </c>
      <c r="D8" s="8"/>
      <c r="E8" s="8"/>
      <c r="F8" s="8"/>
      <c r="G8" s="8">
        <v>3</v>
      </c>
      <c r="H8" s="46" t="s">
        <v>153</v>
      </c>
    </row>
    <row r="9" spans="1:11" s="1" customFormat="1" ht="24.9" customHeight="1" x14ac:dyDescent="0.25">
      <c r="A9" s="12"/>
      <c r="B9" s="17"/>
      <c r="C9" s="17" t="s">
        <v>154</v>
      </c>
      <c r="D9" s="24"/>
      <c r="E9" s="24"/>
      <c r="F9" s="24"/>
      <c r="G9" s="8">
        <v>3</v>
      </c>
      <c r="H9" s="46" t="s">
        <v>153</v>
      </c>
    </row>
    <row r="10" spans="1:11" s="1" customFormat="1" ht="24.9" customHeight="1" x14ac:dyDescent="0.25">
      <c r="A10" s="9"/>
      <c r="B10" s="17"/>
      <c r="C10" s="17" t="s">
        <v>155</v>
      </c>
      <c r="D10" s="8"/>
      <c r="E10" s="8"/>
      <c r="F10" s="8"/>
      <c r="G10" s="8">
        <v>3</v>
      </c>
      <c r="H10" s="46" t="s">
        <v>153</v>
      </c>
    </row>
    <row r="11" spans="1:11" s="1" customFormat="1" ht="24.9" customHeight="1" x14ac:dyDescent="0.25">
      <c r="A11" s="9"/>
      <c r="B11" s="17"/>
      <c r="C11" s="17" t="s">
        <v>156</v>
      </c>
      <c r="D11" s="18"/>
      <c r="E11" s="18"/>
      <c r="F11" s="18"/>
      <c r="G11" s="8">
        <v>3</v>
      </c>
      <c r="H11" s="26"/>
      <c r="K11" s="47"/>
    </row>
    <row r="12" spans="1:11" s="1" customFormat="1" ht="24.9" customHeight="1" x14ac:dyDescent="0.25">
      <c r="A12" s="9"/>
      <c r="B12" s="17"/>
      <c r="C12" s="17" t="s">
        <v>157</v>
      </c>
      <c r="D12" s="18"/>
      <c r="E12" s="18"/>
      <c r="F12" s="18"/>
      <c r="G12" s="8">
        <v>3</v>
      </c>
      <c r="H12" s="26"/>
    </row>
    <row r="13" spans="1:11" s="2" customFormat="1" ht="24.9" customHeight="1" x14ac:dyDescent="0.25">
      <c r="A13" s="9"/>
      <c r="B13" s="17"/>
      <c r="C13" s="17" t="s">
        <v>158</v>
      </c>
      <c r="D13" s="24"/>
      <c r="E13" s="24"/>
      <c r="F13" s="24"/>
      <c r="G13" s="8">
        <v>3</v>
      </c>
      <c r="H13" s="25"/>
    </row>
    <row r="14" spans="1:11" s="1" customFormat="1" ht="24.9" customHeight="1" x14ac:dyDescent="0.25">
      <c r="A14" s="9"/>
      <c r="B14" s="17"/>
      <c r="C14" s="17" t="s">
        <v>159</v>
      </c>
      <c r="D14" s="18"/>
      <c r="E14" s="18"/>
      <c r="F14" s="18"/>
      <c r="G14" s="24">
        <v>2</v>
      </c>
      <c r="H14" s="26"/>
    </row>
    <row r="15" spans="1:11" s="1" customFormat="1" ht="24.9" customHeight="1" x14ac:dyDescent="0.25">
      <c r="A15" s="9"/>
      <c r="B15" s="17"/>
      <c r="C15" s="17" t="s">
        <v>160</v>
      </c>
      <c r="D15" s="18"/>
      <c r="E15" s="18"/>
      <c r="F15" s="18"/>
      <c r="G15" s="24">
        <v>2</v>
      </c>
      <c r="H15" s="26"/>
    </row>
    <row r="16" spans="1:11" s="1" customFormat="1" ht="24.9" customHeight="1" x14ac:dyDescent="0.25">
      <c r="A16" s="9"/>
      <c r="B16" s="17"/>
      <c r="C16" s="17" t="s">
        <v>161</v>
      </c>
      <c r="D16" s="18"/>
      <c r="E16" s="18"/>
      <c r="F16" s="18"/>
      <c r="G16" s="24">
        <v>2</v>
      </c>
      <c r="H16" s="26"/>
    </row>
    <row r="17" spans="1:8" s="1" customFormat="1" ht="24.9" customHeight="1" x14ac:dyDescent="0.25">
      <c r="A17" s="9"/>
      <c r="B17" s="17"/>
      <c r="C17" s="17" t="s">
        <v>162</v>
      </c>
      <c r="D17" s="18"/>
      <c r="E17" s="18"/>
      <c r="F17" s="18"/>
      <c r="G17" s="24">
        <v>2</v>
      </c>
      <c r="H17" s="26"/>
    </row>
    <row r="18" spans="1:8" s="1" customFormat="1" ht="24.9" customHeight="1" x14ac:dyDescent="0.25">
      <c r="A18" s="9"/>
      <c r="B18" s="17"/>
      <c r="C18" s="17" t="s">
        <v>163</v>
      </c>
      <c r="D18" s="18"/>
      <c r="E18" s="18"/>
      <c r="F18" s="18"/>
      <c r="G18" s="24">
        <v>2</v>
      </c>
      <c r="H18" s="26"/>
    </row>
    <row r="19" spans="1:8" s="1" customFormat="1" ht="24.9" customHeight="1" x14ac:dyDescent="0.25">
      <c r="A19" s="9"/>
      <c r="B19" s="17"/>
      <c r="C19" s="17" t="s">
        <v>164</v>
      </c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>
        <f>SUM(G8:G26)</f>
        <v>28</v>
      </c>
      <c r="H27" s="39"/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H27"/>
  <sheetViews>
    <sheetView view="pageBreakPreview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37.950000000000003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 t="s">
        <v>213</v>
      </c>
      <c r="G2" s="119"/>
      <c r="H2" s="120"/>
    </row>
    <row r="3" spans="1:8" s="1" customFormat="1" ht="24.9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215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216</v>
      </c>
      <c r="C4" s="108"/>
      <c r="D4" s="109"/>
      <c r="E4" s="8" t="s">
        <v>8</v>
      </c>
      <c r="F4" s="110">
        <f>H27</f>
        <v>10.520000000000001</v>
      </c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/>
      <c r="H6" s="11" t="s">
        <v>217</v>
      </c>
    </row>
    <row r="7" spans="1:8" s="1" customFormat="1" ht="24.9" customHeight="1" x14ac:dyDescent="0.25">
      <c r="A7" s="12" t="s">
        <v>32</v>
      </c>
      <c r="B7" s="37" t="s">
        <v>218</v>
      </c>
      <c r="C7" s="8"/>
      <c r="D7" s="8"/>
      <c r="E7" s="8"/>
      <c r="F7" s="14"/>
      <c r="G7" s="8"/>
      <c r="H7" s="11"/>
    </row>
    <row r="8" spans="1:8" s="1" customFormat="1" ht="24.9" customHeight="1" x14ac:dyDescent="0.25">
      <c r="A8" s="9">
        <v>1</v>
      </c>
      <c r="B8" s="17" t="s">
        <v>219</v>
      </c>
      <c r="C8" s="8">
        <v>12.4</v>
      </c>
      <c r="D8" s="8">
        <v>0.15</v>
      </c>
      <c r="E8" s="8">
        <v>5.2</v>
      </c>
      <c r="F8" s="8">
        <v>1</v>
      </c>
      <c r="G8" s="8"/>
      <c r="H8" s="10">
        <f t="shared" ref="H8:H10" si="0">ROUND(C8*D8*E8*F8,2)</f>
        <v>9.67</v>
      </c>
    </row>
    <row r="9" spans="1:8" s="1" customFormat="1" ht="24.9" customHeight="1" x14ac:dyDescent="0.25">
      <c r="A9" s="12">
        <v>2</v>
      </c>
      <c r="B9" s="24" t="s">
        <v>220</v>
      </c>
      <c r="C9" s="24">
        <v>1.5</v>
      </c>
      <c r="D9" s="24">
        <v>0.2</v>
      </c>
      <c r="E9" s="24">
        <v>4.9000000000000004</v>
      </c>
      <c r="F9" s="24">
        <v>1</v>
      </c>
      <c r="G9" s="24"/>
      <c r="H9" s="10">
        <f t="shared" si="0"/>
        <v>1.47</v>
      </c>
    </row>
    <row r="10" spans="1:8" s="1" customFormat="1" ht="24.9" customHeight="1" x14ac:dyDescent="0.25">
      <c r="A10" s="9">
        <v>3</v>
      </c>
      <c r="B10" s="17" t="s">
        <v>221</v>
      </c>
      <c r="C10" s="8">
        <v>1.8</v>
      </c>
      <c r="D10" s="8">
        <v>0.15</v>
      </c>
      <c r="E10" s="8">
        <v>2.2999999999999998</v>
      </c>
      <c r="F10" s="8">
        <v>-1</v>
      </c>
      <c r="G10" s="8"/>
      <c r="H10" s="10">
        <f t="shared" si="0"/>
        <v>-0.62</v>
      </c>
    </row>
    <row r="11" spans="1:8" s="1" customFormat="1" ht="24.9" customHeight="1" x14ac:dyDescent="0.25">
      <c r="A11" s="12">
        <v>4</v>
      </c>
      <c r="B11" s="17"/>
      <c r="C11" s="43"/>
      <c r="D11" s="43"/>
      <c r="E11" s="43"/>
      <c r="F11" s="24"/>
      <c r="G11" s="18"/>
      <c r="H11" s="10"/>
    </row>
    <row r="12" spans="1:8" s="1" customFormat="1" ht="24.9" customHeight="1" x14ac:dyDescent="0.25">
      <c r="A12" s="9">
        <v>5</v>
      </c>
      <c r="B12" s="17"/>
      <c r="C12" s="43"/>
      <c r="D12" s="43"/>
      <c r="E12" s="43"/>
      <c r="F12" s="24"/>
      <c r="G12" s="24"/>
      <c r="H12" s="10"/>
    </row>
    <row r="13" spans="1:8" s="1" customFormat="1" ht="24.9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s="1" customFormat="1" ht="24.9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s="2" customFormat="1" ht="24.9" customHeight="1" x14ac:dyDescent="0.25">
      <c r="A15" s="40"/>
      <c r="B15" s="41"/>
      <c r="C15" s="24"/>
      <c r="D15" s="24"/>
      <c r="E15" s="24"/>
      <c r="F15" s="24"/>
      <c r="G15" s="24"/>
      <c r="H15" s="25"/>
    </row>
    <row r="16" spans="1:8" s="1" customFormat="1" ht="24.9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s="1" customFormat="1" ht="24.9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s="1" customFormat="1" ht="24.9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s="1" customFormat="1" ht="24.9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10.520000000000001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27"/>
  <sheetViews>
    <sheetView view="pageBreakPreview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43.95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222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223</v>
      </c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/>
      <c r="H6" s="11" t="s">
        <v>224</v>
      </c>
    </row>
    <row r="7" spans="1:8" s="1" customFormat="1" ht="24.9" customHeight="1" x14ac:dyDescent="0.25">
      <c r="A7" s="12" t="s">
        <v>32</v>
      </c>
      <c r="B7" s="37" t="s">
        <v>225</v>
      </c>
      <c r="C7" s="8"/>
      <c r="D7" s="8"/>
      <c r="E7" s="8"/>
      <c r="F7" s="14"/>
      <c r="G7" s="8"/>
      <c r="H7" s="11"/>
    </row>
    <row r="8" spans="1:8" s="1" customFormat="1" ht="24.9" customHeight="1" x14ac:dyDescent="0.25">
      <c r="A8" s="9">
        <v>1</v>
      </c>
      <c r="B8" s="17"/>
      <c r="C8" s="8"/>
      <c r="D8" s="8"/>
      <c r="E8" s="8"/>
      <c r="F8" s="8"/>
      <c r="G8" s="8"/>
      <c r="H8" s="10"/>
    </row>
    <row r="9" spans="1:8" s="1" customFormat="1" ht="24.9" customHeight="1" x14ac:dyDescent="0.25">
      <c r="A9" s="12">
        <v>2</v>
      </c>
      <c r="B9" s="17"/>
      <c r="C9" s="8"/>
      <c r="D9" s="8"/>
      <c r="E9" s="8"/>
      <c r="F9" s="8"/>
      <c r="G9" s="8"/>
      <c r="H9" s="10"/>
    </row>
    <row r="10" spans="1:8" s="1" customFormat="1" ht="24.9" customHeight="1" x14ac:dyDescent="0.25">
      <c r="A10" s="9">
        <v>3</v>
      </c>
      <c r="B10" s="17"/>
      <c r="C10" s="43"/>
      <c r="D10" s="43"/>
      <c r="E10" s="8"/>
      <c r="F10" s="8"/>
      <c r="G10" s="8"/>
      <c r="H10" s="42"/>
    </row>
    <row r="11" spans="1:8" s="1" customFormat="1" ht="24.9" customHeight="1" x14ac:dyDescent="0.25">
      <c r="A11" s="40">
        <v>4</v>
      </c>
      <c r="B11" s="17"/>
      <c r="C11" s="24"/>
      <c r="D11" s="24"/>
      <c r="E11" s="24"/>
      <c r="F11" s="24"/>
      <c r="G11" s="24"/>
      <c r="H11" s="42"/>
    </row>
    <row r="12" spans="1:8" s="1" customFormat="1" ht="24.9" customHeight="1" x14ac:dyDescent="0.25">
      <c r="A12" s="40">
        <v>5</v>
      </c>
      <c r="B12" s="41"/>
      <c r="C12" s="24"/>
      <c r="D12" s="24"/>
      <c r="E12" s="24"/>
      <c r="F12" s="24"/>
      <c r="G12" s="24"/>
      <c r="H12" s="24"/>
    </row>
    <row r="13" spans="1:8" s="1" customFormat="1" ht="24.9" customHeight="1" x14ac:dyDescent="0.25">
      <c r="A13" s="40">
        <v>6</v>
      </c>
      <c r="B13" s="17"/>
      <c r="C13" s="43"/>
      <c r="D13" s="43"/>
      <c r="E13" s="43"/>
      <c r="F13" s="8"/>
      <c r="G13" s="8"/>
      <c r="H13" s="10"/>
    </row>
    <row r="14" spans="1:8" s="1" customFormat="1" ht="24.9" customHeight="1" x14ac:dyDescent="0.25">
      <c r="A14" s="40">
        <v>7</v>
      </c>
      <c r="B14" s="17"/>
      <c r="C14" s="43"/>
      <c r="D14" s="43"/>
      <c r="E14" s="43"/>
      <c r="F14" s="24"/>
      <c r="G14" s="18"/>
      <c r="H14" s="10"/>
    </row>
    <row r="15" spans="1:8" s="2" customFormat="1" ht="24.9" customHeight="1" x14ac:dyDescent="0.25">
      <c r="A15" s="40">
        <v>8</v>
      </c>
      <c r="B15" s="17"/>
      <c r="C15" s="43"/>
      <c r="D15" s="43"/>
      <c r="E15" s="43"/>
      <c r="F15" s="24"/>
      <c r="G15" s="18"/>
      <c r="H15" s="10"/>
    </row>
    <row r="16" spans="1:8" s="1" customFormat="1" ht="24.9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s="1" customFormat="1" ht="24.9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s="1" customFormat="1" ht="24.9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s="1" customFormat="1" ht="24.9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0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H26"/>
  <sheetViews>
    <sheetView view="pageBreakPreview" topLeftCell="A2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46.05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 t="s">
        <v>226</v>
      </c>
      <c r="G2" s="119"/>
      <c r="H2" s="120"/>
    </row>
    <row r="3" spans="1:8" s="1" customFormat="1" ht="24.9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227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>
        <f>H8</f>
        <v>1.45</v>
      </c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/>
      <c r="H6" s="11" t="s">
        <v>224</v>
      </c>
    </row>
    <row r="7" spans="1:8" s="1" customFormat="1" ht="24.9" customHeight="1" x14ac:dyDescent="0.25">
      <c r="A7" s="12" t="s">
        <v>32</v>
      </c>
      <c r="B7" s="17" t="s">
        <v>229</v>
      </c>
      <c r="C7" s="18"/>
      <c r="D7" s="18"/>
      <c r="E7" s="18"/>
      <c r="F7" s="18"/>
      <c r="G7" s="18"/>
      <c r="H7" s="18"/>
    </row>
    <row r="8" spans="1:8" s="1" customFormat="1" ht="24.9" customHeight="1" x14ac:dyDescent="0.25">
      <c r="A8" s="12"/>
      <c r="B8" s="17">
        <v>1</v>
      </c>
      <c r="C8" s="8">
        <v>0.26</v>
      </c>
      <c r="D8" s="8">
        <v>0.15</v>
      </c>
      <c r="E8" s="8">
        <v>5.3</v>
      </c>
      <c r="F8" s="14">
        <v>7</v>
      </c>
      <c r="G8" s="8"/>
      <c r="H8" s="10">
        <f>ROUND(C8*D8*E8*F8,2)</f>
        <v>1.45</v>
      </c>
    </row>
    <row r="9" spans="1:8" ht="25.05" customHeight="1" x14ac:dyDescent="0.25">
      <c r="A9" s="9" t="s">
        <v>230</v>
      </c>
      <c r="B9" s="7" t="s">
        <v>231</v>
      </c>
      <c r="C9" s="8">
        <v>0.15</v>
      </c>
      <c r="D9" s="8">
        <v>0.15</v>
      </c>
      <c r="E9" s="8">
        <v>2.2999999999999998</v>
      </c>
      <c r="F9" s="8">
        <v>2</v>
      </c>
      <c r="G9" s="8"/>
      <c r="H9" s="10">
        <f>ROUND(C9*D9*E9*F9,2)</f>
        <v>0.1</v>
      </c>
    </row>
    <row r="10" spans="1:8" s="1" customFormat="1" ht="24.9" customHeight="1" x14ac:dyDescent="0.25">
      <c r="A10" s="9"/>
      <c r="B10" s="7"/>
      <c r="C10" s="8"/>
      <c r="D10" s="8"/>
      <c r="E10" s="8"/>
      <c r="F10" s="8"/>
      <c r="G10" s="8"/>
      <c r="H10" s="10"/>
    </row>
    <row r="11" spans="1:8" s="1" customFormat="1" ht="24.9" customHeight="1" x14ac:dyDescent="0.25">
      <c r="A11" s="27"/>
      <c r="B11" s="28"/>
      <c r="C11" s="18"/>
      <c r="D11" s="18"/>
      <c r="E11" s="18"/>
      <c r="F11" s="18"/>
      <c r="G11" s="18"/>
      <c r="H11" s="26"/>
    </row>
    <row r="12" spans="1:8" s="1" customFormat="1" ht="24.9" customHeight="1" x14ac:dyDescent="0.25">
      <c r="A12" s="27"/>
      <c r="B12" s="28"/>
      <c r="C12" s="18"/>
      <c r="D12" s="18"/>
      <c r="E12" s="18"/>
      <c r="F12" s="18"/>
      <c r="G12" s="18"/>
      <c r="H12" s="26"/>
    </row>
    <row r="13" spans="1:8" s="1" customFormat="1" ht="24.9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s="1" customFormat="1" ht="24.9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s="2" customFormat="1" ht="24.9" customHeight="1" x14ac:dyDescent="0.25">
      <c r="A15" s="40"/>
      <c r="B15" s="41"/>
      <c r="C15" s="24"/>
      <c r="D15" s="24"/>
      <c r="E15" s="24"/>
      <c r="F15" s="24"/>
      <c r="G15" s="24"/>
      <c r="H15" s="25"/>
    </row>
    <row r="16" spans="1:8" s="1" customFormat="1" ht="24.9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s="1" customFormat="1" ht="24.9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s="1" customFormat="1" ht="24.9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s="1" customFormat="1" ht="24.9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9" t="s">
        <v>18</v>
      </c>
      <c r="B26" s="30"/>
      <c r="C26" s="31"/>
      <c r="D26" s="31"/>
      <c r="E26" s="31"/>
      <c r="F26" s="31"/>
      <c r="G26" s="31"/>
      <c r="H26" s="39">
        <f>SUM(H8:H25)</f>
        <v>1.55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H26"/>
  <sheetViews>
    <sheetView topLeftCell="A5" workbookViewId="0">
      <selection activeCell="D15" sqref="D15"/>
    </sheetView>
  </sheetViews>
  <sheetFormatPr defaultColWidth="8.88671875" defaultRowHeight="14.4" x14ac:dyDescent="0.25"/>
  <cols>
    <col min="1" max="1" width="13.5546875" customWidth="1"/>
    <col min="4" max="4" width="9.5546875" customWidth="1"/>
    <col min="5" max="5" width="12.21875" customWidth="1"/>
    <col min="6" max="6" width="9.88671875" customWidth="1"/>
    <col min="7" max="7" width="9.77734375" customWidth="1"/>
    <col min="8" max="8" width="11.44140625" customWidth="1"/>
  </cols>
  <sheetData>
    <row r="1" spans="1:8" ht="20.399999999999999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ht="37.950000000000003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 t="s">
        <v>232</v>
      </c>
      <c r="G2" s="119"/>
      <c r="H2" s="120"/>
    </row>
    <row r="3" spans="1:8" ht="31.05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233</v>
      </c>
      <c r="G3" s="122"/>
      <c r="H3" s="123"/>
    </row>
    <row r="4" spans="1:8" ht="25.05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>
        <f>H26</f>
        <v>7.0000000000000007E-2</v>
      </c>
      <c r="G4" s="110"/>
      <c r="H4" s="111"/>
    </row>
    <row r="5" spans="1:8" ht="25.05" customHeight="1" x14ac:dyDescent="0.25">
      <c r="A5" s="144" t="s">
        <v>9</v>
      </c>
      <c r="B5" s="144"/>
      <c r="C5" s="144"/>
      <c r="D5" s="144"/>
      <c r="E5" s="144"/>
      <c r="F5" s="144"/>
      <c r="G5" s="144"/>
      <c r="H5" s="144"/>
    </row>
    <row r="6" spans="1:8" ht="25.05" customHeight="1" x14ac:dyDescent="0.25">
      <c r="A6" s="8" t="s">
        <v>10</v>
      </c>
      <c r="B6" s="8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/>
      <c r="H6" s="14" t="s">
        <v>224</v>
      </c>
    </row>
    <row r="7" spans="1:8" ht="25.05" customHeight="1" x14ac:dyDescent="0.25">
      <c r="A7" s="12" t="s">
        <v>32</v>
      </c>
      <c r="B7" s="37" t="s">
        <v>234</v>
      </c>
      <c r="C7" s="8">
        <v>2.2999999999999998</v>
      </c>
      <c r="D7" s="8">
        <v>0.15</v>
      </c>
      <c r="E7" s="8">
        <v>0.2</v>
      </c>
      <c r="F7" s="8">
        <v>1</v>
      </c>
      <c r="G7" s="8"/>
      <c r="H7" s="10">
        <f>ROUND(C7*D7*E7*F7,2)</f>
        <v>7.0000000000000007E-2</v>
      </c>
    </row>
    <row r="8" spans="1:8" ht="25.05" customHeight="1" x14ac:dyDescent="0.25">
      <c r="A8" s="27"/>
      <c r="B8" s="28"/>
      <c r="C8" s="18"/>
      <c r="D8" s="18"/>
      <c r="E8" s="18"/>
      <c r="F8" s="18"/>
      <c r="G8" s="18"/>
      <c r="H8" s="26"/>
    </row>
    <row r="9" spans="1:8" ht="25.05" customHeight="1" x14ac:dyDescent="0.25">
      <c r="A9" s="27"/>
      <c r="B9" s="28"/>
      <c r="C9" s="18"/>
      <c r="D9" s="18"/>
      <c r="E9" s="18"/>
      <c r="F9" s="18"/>
      <c r="G9" s="18"/>
      <c r="H9" s="26"/>
    </row>
    <row r="10" spans="1:8" ht="25.05" customHeight="1" x14ac:dyDescent="0.25">
      <c r="A10" s="27"/>
      <c r="B10" s="28"/>
      <c r="C10" s="18"/>
      <c r="D10" s="18"/>
      <c r="E10" s="18"/>
      <c r="F10" s="18"/>
      <c r="G10" s="18"/>
      <c r="H10" s="26"/>
    </row>
    <row r="11" spans="1:8" ht="25.05" customHeight="1" x14ac:dyDescent="0.25">
      <c r="A11" s="27"/>
      <c r="B11" s="28"/>
      <c r="C11" s="18"/>
      <c r="D11" s="18"/>
      <c r="E11" s="18"/>
      <c r="F11" s="18"/>
      <c r="G11" s="18"/>
      <c r="H11" s="26"/>
    </row>
    <row r="12" spans="1:8" ht="25.05" customHeight="1" x14ac:dyDescent="0.25">
      <c r="A12" s="40"/>
      <c r="B12" s="41"/>
      <c r="C12" s="24"/>
      <c r="D12" s="24"/>
      <c r="E12" s="24"/>
      <c r="F12" s="24"/>
      <c r="G12" s="24"/>
      <c r="H12" s="25"/>
    </row>
    <row r="13" spans="1:8" ht="25.05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ht="25.05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ht="25.05" customHeight="1" x14ac:dyDescent="0.25">
      <c r="A15" s="27"/>
      <c r="B15" s="28"/>
      <c r="C15" s="18"/>
      <c r="D15" s="18"/>
      <c r="E15" s="18"/>
      <c r="F15" s="18"/>
      <c r="G15" s="18"/>
      <c r="H15" s="26"/>
    </row>
    <row r="16" spans="1:8" ht="25.05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ht="25.05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ht="25.05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ht="25.05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ht="25.05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ht="25.05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ht="25.05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ht="25.05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ht="25.05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ht="25.05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ht="25.05" customHeight="1" x14ac:dyDescent="0.25">
      <c r="A26" s="29" t="s">
        <v>18</v>
      </c>
      <c r="B26" s="30"/>
      <c r="C26" s="31"/>
      <c r="D26" s="31"/>
      <c r="E26" s="31"/>
      <c r="F26" s="31"/>
      <c r="G26" s="31"/>
      <c r="H26" s="39">
        <f>SUM(H7:H25)</f>
        <v>7.0000000000000007E-2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27"/>
  <sheetViews>
    <sheetView workbookViewId="0">
      <selection activeCell="D15" sqref="D15"/>
    </sheetView>
  </sheetViews>
  <sheetFormatPr defaultColWidth="8.88671875" defaultRowHeight="14.4" x14ac:dyDescent="0.25"/>
  <cols>
    <col min="1" max="1" width="13.5546875" customWidth="1"/>
    <col min="4" max="4" width="9.5546875" customWidth="1"/>
    <col min="5" max="5" width="12.21875" customWidth="1"/>
    <col min="6" max="6" width="9.88671875" customWidth="1"/>
    <col min="7" max="7" width="9.77734375" customWidth="1"/>
    <col min="8" max="8" width="11.44140625" customWidth="1"/>
  </cols>
  <sheetData>
    <row r="1" spans="1:8" ht="20.399999999999999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ht="37.950000000000003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 t="s">
        <v>235</v>
      </c>
      <c r="G2" s="119"/>
      <c r="H2" s="120"/>
    </row>
    <row r="3" spans="1:8" ht="31.05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236</v>
      </c>
      <c r="G3" s="122"/>
      <c r="H3" s="123"/>
    </row>
    <row r="4" spans="1:8" ht="25.05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>
        <f>H27</f>
        <v>0.19</v>
      </c>
      <c r="G4" s="110"/>
      <c r="H4" s="111"/>
    </row>
    <row r="5" spans="1:8" ht="25.05" customHeight="1" x14ac:dyDescent="0.25">
      <c r="A5" s="144" t="s">
        <v>9</v>
      </c>
      <c r="B5" s="144"/>
      <c r="C5" s="144"/>
      <c r="D5" s="144"/>
      <c r="E5" s="144"/>
      <c r="F5" s="144"/>
      <c r="G5" s="144"/>
      <c r="H5" s="144"/>
    </row>
    <row r="6" spans="1:8" ht="25.05" customHeight="1" x14ac:dyDescent="0.25">
      <c r="A6" s="8" t="s">
        <v>10</v>
      </c>
      <c r="B6" s="8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/>
      <c r="H6" s="14" t="s">
        <v>224</v>
      </c>
    </row>
    <row r="7" spans="1:8" ht="25.05" customHeight="1" x14ac:dyDescent="0.25">
      <c r="A7" s="12" t="s">
        <v>32</v>
      </c>
      <c r="B7" s="17" t="s">
        <v>237</v>
      </c>
      <c r="C7" s="38"/>
      <c r="D7" s="38"/>
      <c r="E7" s="38"/>
      <c r="F7" s="38"/>
      <c r="G7" s="38"/>
      <c r="H7" s="38"/>
    </row>
    <row r="8" spans="1:8" ht="25.05" customHeight="1" x14ac:dyDescent="0.25">
      <c r="A8" s="12"/>
      <c r="B8" s="17">
        <v>1</v>
      </c>
      <c r="C8" s="8">
        <v>12.4</v>
      </c>
      <c r="D8" s="8">
        <v>0.15</v>
      </c>
      <c r="E8" s="8">
        <v>0.1</v>
      </c>
      <c r="F8" s="14">
        <v>1</v>
      </c>
      <c r="G8" s="8"/>
      <c r="H8" s="10">
        <f t="shared" ref="H8" si="0">ROUND(C8*D8*E8*F8,2)</f>
        <v>0.19</v>
      </c>
    </row>
    <row r="9" spans="1:8" ht="25.05" customHeight="1" x14ac:dyDescent="0.25">
      <c r="A9" s="12"/>
      <c r="B9" s="37"/>
      <c r="C9" s="8"/>
      <c r="D9" s="8"/>
      <c r="E9" s="8"/>
      <c r="F9" s="8"/>
      <c r="G9" s="8"/>
      <c r="H9" s="10"/>
    </row>
    <row r="10" spans="1:8" ht="25.05" customHeight="1" x14ac:dyDescent="0.25">
      <c r="A10" s="9"/>
      <c r="B10" s="7"/>
      <c r="C10" s="8"/>
      <c r="D10" s="8"/>
      <c r="E10" s="8"/>
      <c r="F10" s="8"/>
      <c r="G10" s="8"/>
      <c r="H10" s="10"/>
    </row>
    <row r="11" spans="1:8" ht="25.05" customHeight="1" x14ac:dyDescent="0.25">
      <c r="A11" s="27"/>
      <c r="B11" s="28"/>
      <c r="C11" s="18"/>
      <c r="D11" s="18"/>
      <c r="E11" s="18"/>
      <c r="F11" s="18"/>
      <c r="G11" s="18"/>
      <c r="H11" s="26"/>
    </row>
    <row r="12" spans="1:8" ht="25.05" customHeight="1" x14ac:dyDescent="0.25">
      <c r="A12" s="27"/>
      <c r="B12" s="28"/>
      <c r="C12" s="18"/>
      <c r="D12" s="18"/>
      <c r="E12" s="18"/>
      <c r="F12" s="18"/>
      <c r="G12" s="18"/>
      <c r="H12" s="26"/>
    </row>
    <row r="13" spans="1:8" ht="25.05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ht="25.05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ht="25.05" customHeight="1" x14ac:dyDescent="0.25">
      <c r="A15" s="40"/>
      <c r="B15" s="41"/>
      <c r="C15" s="24"/>
      <c r="D15" s="24"/>
      <c r="E15" s="24"/>
      <c r="F15" s="24"/>
      <c r="G15" s="24"/>
      <c r="H15" s="25"/>
    </row>
    <row r="16" spans="1:8" ht="25.05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ht="25.05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ht="25.05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ht="25.05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ht="25.05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ht="25.05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ht="25.05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ht="25.05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ht="25.05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ht="25.05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ht="25.05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ht="25.05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SUM(H8:H26)</f>
        <v>0.19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H27"/>
  <sheetViews>
    <sheetView topLeftCell="A3" workbookViewId="0">
      <selection activeCell="D15" sqref="D15"/>
    </sheetView>
  </sheetViews>
  <sheetFormatPr defaultColWidth="8.88671875" defaultRowHeight="14.4" x14ac:dyDescent="0.25"/>
  <cols>
    <col min="5" max="5" width="11.5546875" customWidth="1"/>
    <col min="6" max="6" width="12.44140625" customWidth="1"/>
    <col min="8" max="8" width="13.109375" customWidth="1"/>
  </cols>
  <sheetData>
    <row r="1" spans="1:8" ht="20.399999999999999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ht="24" x14ac:dyDescent="0.25">
      <c r="A2" s="4" t="s">
        <v>1</v>
      </c>
      <c r="B2" s="143" t="s">
        <v>147</v>
      </c>
      <c r="C2" s="141"/>
      <c r="D2" s="142"/>
      <c r="E2" s="5" t="s">
        <v>3</v>
      </c>
      <c r="F2" s="118"/>
      <c r="G2" s="119"/>
      <c r="H2" s="120"/>
    </row>
    <row r="3" spans="1:8" ht="24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238</v>
      </c>
      <c r="G3" s="122"/>
      <c r="H3" s="123"/>
    </row>
    <row r="4" spans="1:8" ht="25.05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/>
      <c r="G4" s="110"/>
      <c r="H4" s="111"/>
    </row>
    <row r="5" spans="1:8" ht="25.05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ht="25.05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/>
      <c r="H6" s="11" t="s">
        <v>239</v>
      </c>
    </row>
    <row r="7" spans="1:8" ht="25.05" customHeight="1" x14ac:dyDescent="0.25">
      <c r="A7" s="12" t="s">
        <v>32</v>
      </c>
      <c r="B7" s="37" t="s">
        <v>225</v>
      </c>
      <c r="C7" s="8"/>
      <c r="D7" s="8"/>
      <c r="E7" s="8"/>
      <c r="F7" s="14"/>
      <c r="G7" s="8"/>
      <c r="H7" s="11"/>
    </row>
    <row r="8" spans="1:8" ht="25.05" customHeight="1" x14ac:dyDescent="0.25">
      <c r="A8" s="9">
        <v>1</v>
      </c>
      <c r="B8" s="17"/>
      <c r="C8" s="8"/>
      <c r="D8" s="8"/>
      <c r="E8" s="8"/>
      <c r="F8" s="8"/>
      <c r="G8" s="8"/>
      <c r="H8" s="10">
        <f t="shared" ref="H8:H10" si="0">C8*D8*E8*F8</f>
        <v>0</v>
      </c>
    </row>
    <row r="9" spans="1:8" ht="25.05" customHeight="1" x14ac:dyDescent="0.25">
      <c r="A9" s="12">
        <v>2</v>
      </c>
      <c r="B9" s="24"/>
      <c r="C9" s="24"/>
      <c r="D9" s="24"/>
      <c r="E9" s="24"/>
      <c r="F9" s="24"/>
      <c r="G9" s="24"/>
      <c r="H9" s="10">
        <f t="shared" si="0"/>
        <v>0</v>
      </c>
    </row>
    <row r="10" spans="1:8" ht="25.05" customHeight="1" x14ac:dyDescent="0.25">
      <c r="A10" s="9">
        <v>3</v>
      </c>
      <c r="B10" s="17"/>
      <c r="C10" s="8"/>
      <c r="D10" s="8"/>
      <c r="E10" s="8"/>
      <c r="F10" s="8"/>
      <c r="G10" s="8"/>
      <c r="H10" s="10">
        <f t="shared" si="0"/>
        <v>0</v>
      </c>
    </row>
    <row r="11" spans="1:8" ht="25.05" customHeight="1" x14ac:dyDescent="0.25">
      <c r="A11" s="12">
        <v>4</v>
      </c>
      <c r="B11" s="17"/>
      <c r="C11" s="43"/>
      <c r="D11" s="43"/>
      <c r="E11" s="43"/>
      <c r="F11" s="24"/>
      <c r="G11" s="18"/>
      <c r="H11" s="10"/>
    </row>
    <row r="12" spans="1:8" ht="25.05" customHeight="1" x14ac:dyDescent="0.25">
      <c r="A12" s="9">
        <v>5</v>
      </c>
      <c r="B12" s="17"/>
      <c r="C12" s="43"/>
      <c r="D12" s="43"/>
      <c r="E12" s="43"/>
      <c r="F12" s="24"/>
      <c r="G12" s="24"/>
      <c r="H12" s="10"/>
    </row>
    <row r="13" spans="1:8" ht="25.05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ht="25.05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ht="25.05" customHeight="1" x14ac:dyDescent="0.25">
      <c r="A15" s="40"/>
      <c r="B15" s="41"/>
      <c r="C15" s="24"/>
      <c r="D15" s="24"/>
      <c r="E15" s="24"/>
      <c r="F15" s="24"/>
      <c r="G15" s="24"/>
      <c r="H15" s="25"/>
    </row>
    <row r="16" spans="1:8" ht="25.05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ht="25.05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ht="25.05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ht="25.05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ht="25.05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ht="25.05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ht="25.05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ht="25.05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ht="25.05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ht="25.05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ht="25.05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ht="27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0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H27"/>
  <sheetViews>
    <sheetView topLeftCell="A12" workbookViewId="0">
      <selection activeCell="D15" sqref="D15"/>
    </sheetView>
  </sheetViews>
  <sheetFormatPr defaultColWidth="8.88671875" defaultRowHeight="14.4" x14ac:dyDescent="0.25"/>
  <cols>
    <col min="2" max="2" width="13.44140625" customWidth="1"/>
    <col min="5" max="5" width="13.21875" customWidth="1"/>
    <col min="6" max="6" width="10.88671875" customWidth="1"/>
    <col min="8" max="8" width="12.21875" customWidth="1"/>
  </cols>
  <sheetData>
    <row r="1" spans="1:8" ht="20.399999999999999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ht="24" x14ac:dyDescent="0.25">
      <c r="A2" s="4" t="s">
        <v>1</v>
      </c>
      <c r="B2" s="143" t="s">
        <v>147</v>
      </c>
      <c r="C2" s="141"/>
      <c r="D2" s="142"/>
      <c r="E2" s="5" t="s">
        <v>3</v>
      </c>
      <c r="F2" s="118" t="s">
        <v>240</v>
      </c>
      <c r="G2" s="119"/>
      <c r="H2" s="120"/>
    </row>
    <row r="3" spans="1:8" ht="24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241</v>
      </c>
      <c r="G3" s="122"/>
      <c r="H3" s="123"/>
    </row>
    <row r="4" spans="1:8" ht="25.05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>
        <f>H27</f>
        <v>25.9</v>
      </c>
      <c r="G4" s="110"/>
      <c r="H4" s="111"/>
    </row>
    <row r="5" spans="1:8" ht="25.05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ht="25.05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 t="s">
        <v>242</v>
      </c>
      <c r="H6" s="11" t="s">
        <v>243</v>
      </c>
    </row>
    <row r="7" spans="1:8" ht="25.05" customHeight="1" x14ac:dyDescent="0.25">
      <c r="A7" s="12" t="s">
        <v>32</v>
      </c>
      <c r="B7" s="37" t="s">
        <v>244</v>
      </c>
      <c r="C7" s="8"/>
      <c r="D7" s="8"/>
      <c r="E7" s="8"/>
      <c r="F7" s="14"/>
      <c r="G7" s="8"/>
      <c r="H7" s="11"/>
    </row>
    <row r="8" spans="1:8" ht="25.05" customHeight="1" x14ac:dyDescent="0.25">
      <c r="A8" s="9">
        <v>1</v>
      </c>
      <c r="B8" s="17"/>
      <c r="C8" s="8"/>
      <c r="D8" s="8">
        <v>0.32</v>
      </c>
      <c r="E8" s="8">
        <v>5.3</v>
      </c>
      <c r="F8" s="8">
        <v>7</v>
      </c>
      <c r="G8" s="8">
        <v>2</v>
      </c>
      <c r="H8" s="10">
        <f>ROUND(D8*E8*F8*G8,2)</f>
        <v>23.74</v>
      </c>
    </row>
    <row r="9" spans="1:8" ht="25.05" customHeight="1" x14ac:dyDescent="0.25">
      <c r="A9" s="12" t="s">
        <v>230</v>
      </c>
      <c r="B9" s="44" t="s">
        <v>245</v>
      </c>
      <c r="C9" s="24"/>
      <c r="D9" s="24">
        <v>0.45</v>
      </c>
      <c r="E9" s="24">
        <v>2.4</v>
      </c>
      <c r="F9" s="24">
        <v>2</v>
      </c>
      <c r="G9" s="24"/>
      <c r="H9" s="10">
        <f>ROUND(D9*E9*F9,2)</f>
        <v>2.16</v>
      </c>
    </row>
    <row r="10" spans="1:8" ht="25.05" customHeight="1" x14ac:dyDescent="0.25">
      <c r="A10" s="9">
        <v>3</v>
      </c>
      <c r="B10" s="17"/>
      <c r="C10" s="8"/>
      <c r="D10" s="8"/>
      <c r="E10" s="8"/>
      <c r="F10" s="8"/>
      <c r="G10" s="8"/>
      <c r="H10" s="10"/>
    </row>
    <row r="11" spans="1:8" ht="25.05" customHeight="1" x14ac:dyDescent="0.25">
      <c r="A11" s="12">
        <v>4</v>
      </c>
      <c r="B11" s="17"/>
      <c r="C11" s="43"/>
      <c r="D11" s="43"/>
      <c r="E11" s="43"/>
      <c r="F11" s="24"/>
      <c r="G11" s="18"/>
      <c r="H11" s="10"/>
    </row>
    <row r="12" spans="1:8" ht="25.05" customHeight="1" x14ac:dyDescent="0.25">
      <c r="A12" s="9">
        <v>5</v>
      </c>
      <c r="B12" s="17"/>
      <c r="C12" s="43"/>
      <c r="D12" s="43"/>
      <c r="E12" s="43"/>
      <c r="F12" s="24"/>
      <c r="G12" s="24"/>
      <c r="H12" s="10"/>
    </row>
    <row r="13" spans="1:8" ht="25.05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ht="25.05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ht="25.05" customHeight="1" x14ac:dyDescent="0.25">
      <c r="A15" s="40"/>
      <c r="B15" s="41"/>
      <c r="C15" s="24"/>
      <c r="D15" s="24"/>
      <c r="E15" s="24"/>
      <c r="F15" s="24"/>
      <c r="G15" s="24"/>
      <c r="H15" s="25"/>
    </row>
    <row r="16" spans="1:8" ht="25.05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ht="25.05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ht="25.05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ht="25.05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ht="25.05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ht="25.05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ht="25.05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ht="25.05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ht="25.05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ht="25.05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ht="25.05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ht="37.049999999999997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25.9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H27"/>
  <sheetViews>
    <sheetView workbookViewId="0">
      <selection activeCell="D15" sqref="D15"/>
    </sheetView>
  </sheetViews>
  <sheetFormatPr defaultColWidth="8.88671875" defaultRowHeight="14.4" x14ac:dyDescent="0.25"/>
  <cols>
    <col min="1" max="1" width="13.88671875" customWidth="1"/>
    <col min="2" max="2" width="12.88671875" customWidth="1"/>
    <col min="5" max="5" width="10.109375" customWidth="1"/>
    <col min="6" max="6" width="10.44140625" customWidth="1"/>
    <col min="8" max="8" width="13" customWidth="1"/>
  </cols>
  <sheetData>
    <row r="1" spans="1:8" ht="20.399999999999999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ht="33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 t="s">
        <v>246</v>
      </c>
      <c r="G2" s="119"/>
      <c r="H2" s="120"/>
    </row>
    <row r="3" spans="1:8" ht="24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247</v>
      </c>
      <c r="G3" s="122"/>
      <c r="H3" s="123"/>
    </row>
    <row r="4" spans="1:8" ht="25.05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>
        <f>H27</f>
        <v>1.38</v>
      </c>
      <c r="G4" s="110"/>
      <c r="H4" s="111"/>
    </row>
    <row r="5" spans="1:8" ht="25.05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ht="25.05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/>
      <c r="H6" s="11" t="s">
        <v>243</v>
      </c>
    </row>
    <row r="7" spans="1:8" ht="25.05" customHeight="1" x14ac:dyDescent="0.25">
      <c r="A7" s="12">
        <v>1</v>
      </c>
      <c r="B7" s="37" t="s">
        <v>248</v>
      </c>
      <c r="C7" s="8">
        <v>2.5</v>
      </c>
      <c r="D7" s="8">
        <v>0.15</v>
      </c>
      <c r="E7" s="8">
        <v>0.2</v>
      </c>
      <c r="F7" s="14">
        <v>1</v>
      </c>
      <c r="G7" s="8"/>
      <c r="H7" s="11">
        <f>ROUND(C7*(D7+E7*2)*F7,2)</f>
        <v>1.38</v>
      </c>
    </row>
    <row r="8" spans="1:8" ht="25.05" customHeight="1" x14ac:dyDescent="0.25">
      <c r="A8" s="9"/>
      <c r="B8" s="17"/>
      <c r="C8" s="8"/>
      <c r="D8" s="8"/>
      <c r="E8" s="8"/>
      <c r="F8" s="8"/>
      <c r="G8" s="8"/>
      <c r="H8" s="10"/>
    </row>
    <row r="9" spans="1:8" ht="25.05" customHeight="1" x14ac:dyDescent="0.25">
      <c r="A9" s="12"/>
      <c r="B9" s="24"/>
      <c r="C9" s="24"/>
      <c r="D9" s="24"/>
      <c r="E9" s="24"/>
      <c r="F9" s="24"/>
      <c r="G9" s="24"/>
      <c r="H9" s="10"/>
    </row>
    <row r="10" spans="1:8" ht="25.05" customHeight="1" x14ac:dyDescent="0.25">
      <c r="A10" s="9"/>
      <c r="B10" s="17"/>
      <c r="C10" s="8"/>
      <c r="D10" s="8"/>
      <c r="E10" s="8"/>
      <c r="F10" s="8"/>
      <c r="G10" s="8"/>
      <c r="H10" s="10"/>
    </row>
    <row r="11" spans="1:8" ht="25.05" customHeight="1" x14ac:dyDescent="0.25">
      <c r="A11" s="12"/>
      <c r="B11" s="17"/>
      <c r="C11" s="43"/>
      <c r="D11" s="43"/>
      <c r="E11" s="43"/>
      <c r="F11" s="24"/>
      <c r="G11" s="18"/>
      <c r="H11" s="10"/>
    </row>
    <row r="12" spans="1:8" ht="25.05" customHeight="1" x14ac:dyDescent="0.25">
      <c r="A12" s="9"/>
      <c r="B12" s="17"/>
      <c r="C12" s="43"/>
      <c r="D12" s="43"/>
      <c r="E12" s="43"/>
      <c r="F12" s="24"/>
      <c r="G12" s="24"/>
      <c r="H12" s="10"/>
    </row>
    <row r="13" spans="1:8" ht="25.05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ht="25.05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ht="25.05" customHeight="1" x14ac:dyDescent="0.25">
      <c r="A15" s="40"/>
      <c r="B15" s="41"/>
      <c r="C15" s="24"/>
      <c r="D15" s="24"/>
      <c r="E15" s="24"/>
      <c r="F15" s="24"/>
      <c r="G15" s="24"/>
      <c r="H15" s="25"/>
    </row>
    <row r="16" spans="1:8" ht="25.05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ht="25.05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ht="25.05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ht="25.05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ht="25.05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ht="25.05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ht="25.05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ht="25.05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ht="25.05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ht="25.05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ht="25.05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ht="25.05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1.38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H26"/>
  <sheetViews>
    <sheetView workbookViewId="0">
      <selection activeCell="D15" sqref="D15"/>
    </sheetView>
  </sheetViews>
  <sheetFormatPr defaultColWidth="8.88671875" defaultRowHeight="14.4" x14ac:dyDescent="0.25"/>
  <cols>
    <col min="1" max="1" width="13.88671875" customWidth="1"/>
    <col min="2" max="2" width="12.88671875" customWidth="1"/>
    <col min="5" max="5" width="10.109375" customWidth="1"/>
    <col min="6" max="6" width="10.44140625" customWidth="1"/>
    <col min="8" max="8" width="13" customWidth="1"/>
  </cols>
  <sheetData>
    <row r="1" spans="1:8" ht="20.399999999999999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ht="37.950000000000003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 t="s">
        <v>246</v>
      </c>
      <c r="G2" s="119"/>
      <c r="H2" s="120"/>
    </row>
    <row r="3" spans="1:8" ht="24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249</v>
      </c>
      <c r="G3" s="122"/>
      <c r="H3" s="123"/>
    </row>
    <row r="4" spans="1:8" ht="25.05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>
        <f>H26</f>
        <v>2.48</v>
      </c>
      <c r="G4" s="110"/>
      <c r="H4" s="111"/>
    </row>
    <row r="5" spans="1:8" ht="25.05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ht="25.05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/>
      <c r="H6" s="11" t="s">
        <v>243</v>
      </c>
    </row>
    <row r="7" spans="1:8" ht="25.05" customHeight="1" x14ac:dyDescent="0.25">
      <c r="A7" s="9">
        <v>2</v>
      </c>
      <c r="B7" s="17" t="s">
        <v>250</v>
      </c>
      <c r="C7" s="8">
        <v>12.4</v>
      </c>
      <c r="D7" s="8"/>
      <c r="E7" s="8">
        <v>0.1</v>
      </c>
      <c r="F7" s="8">
        <v>2</v>
      </c>
      <c r="G7" s="8"/>
      <c r="H7" s="10">
        <f>ROUND(C7*E7*F7,2)</f>
        <v>2.48</v>
      </c>
    </row>
    <row r="8" spans="1:8" ht="25.05" customHeight="1" x14ac:dyDescent="0.25">
      <c r="A8" s="12"/>
      <c r="B8" s="24"/>
      <c r="C8" s="24"/>
      <c r="D8" s="24"/>
      <c r="E8" s="24"/>
      <c r="F8" s="24"/>
      <c r="G8" s="24"/>
      <c r="H8" s="10"/>
    </row>
    <row r="9" spans="1:8" ht="25.05" customHeight="1" x14ac:dyDescent="0.25">
      <c r="A9" s="9"/>
      <c r="B9" s="17"/>
      <c r="C9" s="8"/>
      <c r="D9" s="8"/>
      <c r="E9" s="8"/>
      <c r="F9" s="8"/>
      <c r="G9" s="8"/>
      <c r="H9" s="10"/>
    </row>
    <row r="10" spans="1:8" ht="25.05" customHeight="1" x14ac:dyDescent="0.25">
      <c r="A10" s="12"/>
      <c r="B10" s="17"/>
      <c r="C10" s="43"/>
      <c r="D10" s="43"/>
      <c r="E10" s="43"/>
      <c r="F10" s="24"/>
      <c r="G10" s="18"/>
      <c r="H10" s="10"/>
    </row>
    <row r="11" spans="1:8" ht="25.05" customHeight="1" x14ac:dyDescent="0.25">
      <c r="A11" s="9"/>
      <c r="B11" s="17"/>
      <c r="C11" s="43"/>
      <c r="D11" s="43"/>
      <c r="E11" s="43"/>
      <c r="F11" s="24"/>
      <c r="G11" s="24"/>
      <c r="H11" s="10"/>
    </row>
    <row r="12" spans="1:8" ht="25.05" customHeight="1" x14ac:dyDescent="0.25">
      <c r="A12" s="27"/>
      <c r="B12" s="28"/>
      <c r="C12" s="18"/>
      <c r="D12" s="18"/>
      <c r="E12" s="18"/>
      <c r="F12" s="18"/>
      <c r="G12" s="18"/>
      <c r="H12" s="26"/>
    </row>
    <row r="13" spans="1:8" ht="25.05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ht="25.05" customHeight="1" x14ac:dyDescent="0.25">
      <c r="A14" s="40"/>
      <c r="B14" s="41"/>
      <c r="C14" s="24"/>
      <c r="D14" s="24"/>
      <c r="E14" s="24"/>
      <c r="F14" s="24"/>
      <c r="G14" s="24"/>
      <c r="H14" s="25"/>
    </row>
    <row r="15" spans="1:8" ht="25.05" customHeight="1" x14ac:dyDescent="0.25">
      <c r="A15" s="27"/>
      <c r="B15" s="28"/>
      <c r="C15" s="18"/>
      <c r="D15" s="18"/>
      <c r="E15" s="18"/>
      <c r="F15" s="18"/>
      <c r="G15" s="18"/>
      <c r="H15" s="26"/>
    </row>
    <row r="16" spans="1:8" ht="25.05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ht="25.05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ht="25.05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ht="25.05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ht="25.05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ht="25.05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ht="25.05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ht="25.05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ht="25.05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ht="25.05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ht="25.05" customHeight="1" x14ac:dyDescent="0.25">
      <c r="A26" s="29" t="s">
        <v>18</v>
      </c>
      <c r="B26" s="30"/>
      <c r="C26" s="31"/>
      <c r="D26" s="31"/>
      <c r="E26" s="31"/>
      <c r="F26" s="31"/>
      <c r="G26" s="31"/>
      <c r="H26" s="39">
        <f>SUM(H7:H25)</f>
        <v>2.48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H27"/>
  <sheetViews>
    <sheetView workbookViewId="0">
      <selection activeCell="D15" sqref="D15"/>
    </sheetView>
  </sheetViews>
  <sheetFormatPr defaultColWidth="8.88671875" defaultRowHeight="14.4" x14ac:dyDescent="0.25"/>
  <cols>
    <col min="2" max="2" width="12.6640625" customWidth="1"/>
    <col min="5" max="5" width="10.44140625" customWidth="1"/>
    <col min="6" max="6" width="12.44140625" customWidth="1"/>
    <col min="7" max="7" width="10.5546875" customWidth="1"/>
    <col min="8" max="8" width="11.88671875" customWidth="1"/>
  </cols>
  <sheetData>
    <row r="1" spans="1:8" ht="20.399999999999999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ht="40.049999999999997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 t="s">
        <v>251</v>
      </c>
      <c r="G2" s="119"/>
      <c r="H2" s="120"/>
    </row>
    <row r="3" spans="1:8" ht="28.05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252</v>
      </c>
      <c r="G3" s="122"/>
      <c r="H3" s="123"/>
    </row>
    <row r="4" spans="1:8" ht="25.95" customHeight="1" x14ac:dyDescent="0.25">
      <c r="A4" s="9" t="s">
        <v>7</v>
      </c>
      <c r="B4" s="108" t="s">
        <v>253</v>
      </c>
      <c r="C4" s="108"/>
      <c r="D4" s="109"/>
      <c r="E4" s="8" t="s">
        <v>8</v>
      </c>
      <c r="F4" s="110">
        <f>H27</f>
        <v>5.8999999999999997E-2</v>
      </c>
      <c r="G4" s="110"/>
      <c r="H4" s="111"/>
    </row>
    <row r="5" spans="1:8" ht="25.05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ht="25.05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254</v>
      </c>
      <c r="F6" s="8" t="s">
        <v>255</v>
      </c>
      <c r="G6" s="8" t="s">
        <v>16</v>
      </c>
      <c r="H6" s="11" t="s">
        <v>17</v>
      </c>
    </row>
    <row r="7" spans="1:8" ht="25.05" customHeight="1" x14ac:dyDescent="0.25">
      <c r="A7" s="12" t="s">
        <v>256</v>
      </c>
      <c r="B7" s="13" t="s">
        <v>257</v>
      </c>
      <c r="C7" s="43"/>
      <c r="D7" s="43"/>
      <c r="E7" s="43"/>
      <c r="F7" s="43"/>
      <c r="G7" s="43"/>
      <c r="H7" s="43"/>
    </row>
    <row r="8" spans="1:8" ht="25.05" customHeight="1" x14ac:dyDescent="0.25">
      <c r="A8" s="9">
        <v>1</v>
      </c>
      <c r="B8" s="13" t="s">
        <v>258</v>
      </c>
      <c r="C8" s="8">
        <v>14.2</v>
      </c>
      <c r="D8" s="8"/>
      <c r="E8" s="8">
        <v>2</v>
      </c>
      <c r="F8" s="14">
        <v>8</v>
      </c>
      <c r="G8" s="8">
        <v>0.26</v>
      </c>
      <c r="H8" s="11">
        <f>ROUND(C8*E8*F8*G8/1000,3)</f>
        <v>5.8999999999999997E-2</v>
      </c>
    </row>
    <row r="9" spans="1:8" ht="25.05" customHeight="1" x14ac:dyDescent="0.25">
      <c r="A9" s="12"/>
      <c r="B9" s="17"/>
      <c r="C9" s="8"/>
      <c r="D9" s="8"/>
      <c r="E9" s="8"/>
      <c r="F9" s="8"/>
      <c r="G9" s="8"/>
      <c r="H9" s="11"/>
    </row>
    <row r="10" spans="1:8" ht="25.05" customHeight="1" x14ac:dyDescent="0.25">
      <c r="A10" s="9"/>
      <c r="B10" s="13"/>
      <c r="C10" s="8"/>
      <c r="D10" s="8"/>
      <c r="E10" s="8"/>
      <c r="F10" s="8"/>
      <c r="G10" s="8"/>
      <c r="H10" s="11"/>
    </row>
    <row r="11" spans="1:8" ht="25.05" customHeight="1" x14ac:dyDescent="0.25">
      <c r="A11" s="12"/>
      <c r="B11" s="13"/>
      <c r="C11" s="24"/>
      <c r="D11" s="24"/>
      <c r="E11" s="24"/>
      <c r="F11" s="8"/>
      <c r="G11" s="24"/>
      <c r="H11" s="11"/>
    </row>
    <row r="12" spans="1:8" ht="25.05" customHeight="1" x14ac:dyDescent="0.25">
      <c r="A12" s="9"/>
      <c r="B12" s="17"/>
      <c r="C12" s="24"/>
      <c r="D12" s="24"/>
      <c r="E12" s="24"/>
      <c r="F12" s="8"/>
      <c r="G12" s="24"/>
      <c r="H12" s="11"/>
    </row>
    <row r="13" spans="1:8" ht="25.05" customHeight="1" x14ac:dyDescent="0.25">
      <c r="A13" s="12"/>
      <c r="B13" s="13"/>
      <c r="C13" s="24"/>
      <c r="D13" s="24"/>
      <c r="E13" s="24"/>
      <c r="F13" s="8"/>
      <c r="G13" s="24"/>
      <c r="H13" s="11"/>
    </row>
    <row r="14" spans="1:8" ht="25.05" customHeight="1" x14ac:dyDescent="0.25">
      <c r="A14" s="9"/>
      <c r="B14" s="13"/>
      <c r="C14" s="8"/>
      <c r="D14" s="8"/>
      <c r="E14" s="24"/>
      <c r="F14" s="8"/>
      <c r="G14" s="24"/>
      <c r="H14" s="11"/>
    </row>
    <row r="15" spans="1:8" ht="25.05" customHeight="1" x14ac:dyDescent="0.25">
      <c r="A15" s="12"/>
      <c r="B15" s="17"/>
      <c r="C15" s="8"/>
      <c r="D15" s="8"/>
      <c r="E15" s="24"/>
      <c r="F15" s="8"/>
      <c r="G15" s="24"/>
      <c r="H15" s="11"/>
    </row>
    <row r="16" spans="1:8" ht="25.05" customHeight="1" x14ac:dyDescent="0.25">
      <c r="A16" s="9"/>
      <c r="B16" s="13"/>
      <c r="C16" s="8"/>
      <c r="D16" s="8"/>
      <c r="E16" s="24"/>
      <c r="F16" s="8"/>
      <c r="G16" s="24"/>
      <c r="H16" s="11"/>
    </row>
    <row r="17" spans="1:8" ht="25.05" customHeight="1" x14ac:dyDescent="0.25">
      <c r="A17" s="12"/>
      <c r="B17" s="13"/>
      <c r="C17" s="24"/>
      <c r="D17" s="24"/>
      <c r="E17" s="24"/>
      <c r="F17" s="8"/>
      <c r="G17" s="24"/>
      <c r="H17" s="11"/>
    </row>
    <row r="18" spans="1:8" ht="25.05" customHeight="1" x14ac:dyDescent="0.25">
      <c r="A18" s="9"/>
      <c r="B18" s="21"/>
      <c r="C18" s="24"/>
      <c r="D18" s="24"/>
      <c r="E18" s="24"/>
      <c r="F18" s="8"/>
      <c r="G18" s="24"/>
      <c r="H18" s="10"/>
    </row>
    <row r="19" spans="1:8" ht="25.05" customHeight="1" x14ac:dyDescent="0.25">
      <c r="A19" s="27"/>
      <c r="B19" s="41"/>
      <c r="C19" s="24"/>
      <c r="D19" s="24"/>
      <c r="E19" s="24"/>
      <c r="F19" s="24"/>
      <c r="G19" s="24"/>
      <c r="H19" s="25"/>
    </row>
    <row r="20" spans="1:8" ht="25.05" customHeight="1" x14ac:dyDescent="0.25">
      <c r="A20" s="27"/>
      <c r="B20" s="41"/>
      <c r="C20" s="24"/>
      <c r="D20" s="24"/>
      <c r="E20" s="24"/>
      <c r="F20" s="24"/>
      <c r="G20" s="24"/>
      <c r="H20" s="25"/>
    </row>
    <row r="21" spans="1:8" ht="25.05" customHeight="1" x14ac:dyDescent="0.25">
      <c r="A21" s="27"/>
      <c r="B21" s="41"/>
      <c r="C21" s="24"/>
      <c r="D21" s="24"/>
      <c r="E21" s="24"/>
      <c r="F21" s="24"/>
      <c r="G21" s="24"/>
      <c r="H21" s="25"/>
    </row>
    <row r="22" spans="1:8" ht="25.05" customHeight="1" x14ac:dyDescent="0.25">
      <c r="A22" s="27"/>
      <c r="B22" s="41"/>
      <c r="C22" s="24"/>
      <c r="D22" s="24"/>
      <c r="E22" s="24"/>
      <c r="F22" s="24"/>
      <c r="G22" s="24"/>
      <c r="H22" s="25"/>
    </row>
    <row r="23" spans="1:8" ht="25.05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ht="25.05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ht="25.05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ht="25.05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ht="25.05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SUM(H8:H26)</f>
        <v>5.8999999999999997E-2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H27"/>
  <sheetViews>
    <sheetView workbookViewId="0">
      <selection activeCell="D15" sqref="D15"/>
    </sheetView>
  </sheetViews>
  <sheetFormatPr defaultColWidth="8.88671875" defaultRowHeight="14.4" x14ac:dyDescent="0.25"/>
  <cols>
    <col min="2" max="2" width="12.6640625" customWidth="1"/>
    <col min="5" max="5" width="10.44140625" customWidth="1"/>
    <col min="6" max="6" width="12.44140625" customWidth="1"/>
    <col min="7" max="7" width="10.5546875" customWidth="1"/>
    <col min="8" max="8" width="11.88671875" customWidth="1"/>
  </cols>
  <sheetData>
    <row r="1" spans="1:8" ht="20.399999999999999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ht="40.049999999999997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 t="s">
        <v>259</v>
      </c>
      <c r="G2" s="119"/>
      <c r="H2" s="120"/>
    </row>
    <row r="3" spans="1:8" ht="28.05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260</v>
      </c>
      <c r="G3" s="122"/>
      <c r="H3" s="123"/>
    </row>
    <row r="4" spans="1:8" ht="25.95" customHeight="1" x14ac:dyDescent="0.25">
      <c r="A4" s="9" t="s">
        <v>7</v>
      </c>
      <c r="B4" s="108" t="s">
        <v>253</v>
      </c>
      <c r="C4" s="108"/>
      <c r="D4" s="109"/>
      <c r="E4" s="8" t="s">
        <v>8</v>
      </c>
      <c r="F4" s="110">
        <f>H27</f>
        <v>4.7E-2</v>
      </c>
      <c r="G4" s="110"/>
      <c r="H4" s="111"/>
    </row>
    <row r="5" spans="1:8" ht="25.05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ht="25.05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254</v>
      </c>
      <c r="F6" s="8" t="s">
        <v>255</v>
      </c>
      <c r="G6" s="8" t="s">
        <v>16</v>
      </c>
      <c r="H6" s="11" t="s">
        <v>17</v>
      </c>
    </row>
    <row r="7" spans="1:8" ht="25.05" customHeight="1" x14ac:dyDescent="0.25">
      <c r="A7" s="12" t="s">
        <v>261</v>
      </c>
      <c r="B7" s="17" t="s">
        <v>262</v>
      </c>
      <c r="C7" s="8"/>
      <c r="D7" s="8"/>
      <c r="E7" s="8"/>
      <c r="F7" s="8"/>
      <c r="G7" s="8"/>
      <c r="H7" s="11">
        <f>C7*E7*F7*G7</f>
        <v>0</v>
      </c>
    </row>
    <row r="8" spans="1:8" ht="25.05" customHeight="1" x14ac:dyDescent="0.25">
      <c r="A8" s="9"/>
      <c r="B8" s="13" t="s">
        <v>263</v>
      </c>
      <c r="C8" s="8">
        <v>14.2</v>
      </c>
      <c r="D8" s="8"/>
      <c r="E8" s="8">
        <v>2</v>
      </c>
      <c r="F8" s="8">
        <v>1</v>
      </c>
      <c r="G8" s="8">
        <v>0.61699999999999999</v>
      </c>
      <c r="H8" s="11">
        <f t="shared" ref="H8:H11" si="0">ROUND(C8*E8*F8*G8/1000,3)</f>
        <v>1.7999999999999999E-2</v>
      </c>
    </row>
    <row r="9" spans="1:8" ht="25.05" customHeight="1" x14ac:dyDescent="0.25">
      <c r="A9" s="12"/>
      <c r="B9" s="13" t="s">
        <v>258</v>
      </c>
      <c r="C9" s="24">
        <v>0.24</v>
      </c>
      <c r="D9" s="24"/>
      <c r="E9" s="24">
        <v>47</v>
      </c>
      <c r="F9" s="8">
        <v>1</v>
      </c>
      <c r="G9" s="24">
        <v>0.26</v>
      </c>
      <c r="H9" s="11">
        <f t="shared" si="0"/>
        <v>3.0000000000000001E-3</v>
      </c>
    </row>
    <row r="10" spans="1:8" ht="25.05" customHeight="1" x14ac:dyDescent="0.25">
      <c r="A10" s="9" t="s">
        <v>264</v>
      </c>
      <c r="B10" s="17" t="s">
        <v>244</v>
      </c>
      <c r="C10" s="24"/>
      <c r="D10" s="24"/>
      <c r="E10" s="24"/>
      <c r="F10" s="8"/>
      <c r="G10" s="24"/>
      <c r="H10" s="11"/>
    </row>
    <row r="11" spans="1:8" ht="25.05" customHeight="1" x14ac:dyDescent="0.25">
      <c r="A11" s="9" t="s">
        <v>265</v>
      </c>
      <c r="B11" s="13" t="s">
        <v>258</v>
      </c>
      <c r="C11" s="8">
        <v>0.6</v>
      </c>
      <c r="D11" s="8"/>
      <c r="E11" s="24">
        <v>22</v>
      </c>
      <c r="F11" s="8">
        <v>7</v>
      </c>
      <c r="G11" s="24">
        <v>0.26</v>
      </c>
      <c r="H11" s="11">
        <f t="shared" si="0"/>
        <v>2.4E-2</v>
      </c>
    </row>
    <row r="12" spans="1:8" ht="25.05" customHeight="1" x14ac:dyDescent="0.25">
      <c r="A12" s="12" t="s">
        <v>266</v>
      </c>
      <c r="B12" s="17" t="s">
        <v>248</v>
      </c>
      <c r="C12" s="8"/>
      <c r="D12" s="8"/>
      <c r="E12" s="24"/>
      <c r="F12" s="8"/>
      <c r="G12" s="24"/>
      <c r="H12" s="11">
        <f>C12*E12*F12*G12</f>
        <v>0</v>
      </c>
    </row>
    <row r="13" spans="1:8" ht="25.05" customHeight="1" x14ac:dyDescent="0.25">
      <c r="A13" s="12"/>
      <c r="B13" s="13" t="s">
        <v>258</v>
      </c>
      <c r="C13" s="24">
        <v>0.72</v>
      </c>
      <c r="D13" s="24"/>
      <c r="E13" s="24">
        <v>13</v>
      </c>
      <c r="F13" s="8">
        <v>1</v>
      </c>
      <c r="G13" s="24">
        <v>0.26</v>
      </c>
      <c r="H13" s="11">
        <f>ROUND(C13*E13*F13*G13/1000,3)</f>
        <v>2E-3</v>
      </c>
    </row>
    <row r="14" spans="1:8" ht="25.05" customHeight="1" x14ac:dyDescent="0.25">
      <c r="A14" s="9"/>
      <c r="B14" s="21"/>
      <c r="C14" s="24"/>
      <c r="D14" s="24"/>
      <c r="E14" s="24"/>
      <c r="F14" s="8"/>
      <c r="G14" s="24"/>
      <c r="H14" s="10"/>
    </row>
    <row r="15" spans="1:8" ht="25.05" customHeight="1" x14ac:dyDescent="0.25">
      <c r="A15" s="27"/>
      <c r="B15" s="41"/>
      <c r="C15" s="24"/>
      <c r="D15" s="24"/>
      <c r="E15" s="24"/>
      <c r="F15" s="24"/>
      <c r="G15" s="24"/>
      <c r="H15" s="25"/>
    </row>
    <row r="16" spans="1:8" ht="25.05" customHeight="1" x14ac:dyDescent="0.25">
      <c r="A16" s="27"/>
      <c r="B16" s="41"/>
      <c r="C16" s="24"/>
      <c r="D16" s="24"/>
      <c r="E16" s="24"/>
      <c r="F16" s="24"/>
      <c r="G16" s="24"/>
      <c r="H16" s="25"/>
    </row>
    <row r="17" spans="1:8" ht="25.05" customHeight="1" x14ac:dyDescent="0.25">
      <c r="A17" s="27"/>
      <c r="B17" s="41"/>
      <c r="C17" s="24"/>
      <c r="D17" s="24"/>
      <c r="E17" s="24"/>
      <c r="F17" s="24"/>
      <c r="G17" s="24"/>
      <c r="H17" s="25"/>
    </row>
    <row r="18" spans="1:8" ht="25.05" customHeight="1" x14ac:dyDescent="0.25">
      <c r="A18" s="27"/>
      <c r="B18" s="41"/>
      <c r="C18" s="24"/>
      <c r="D18" s="24"/>
      <c r="E18" s="24"/>
      <c r="F18" s="24"/>
      <c r="G18" s="24"/>
      <c r="H18" s="25"/>
    </row>
    <row r="19" spans="1:8" ht="25.05" customHeight="1" x14ac:dyDescent="0.25">
      <c r="A19" s="27"/>
      <c r="B19" s="41"/>
      <c r="C19" s="24"/>
      <c r="D19" s="24"/>
      <c r="E19" s="24"/>
      <c r="F19" s="24"/>
      <c r="G19" s="24"/>
      <c r="H19" s="25"/>
    </row>
    <row r="20" spans="1:8" ht="25.05" customHeight="1" x14ac:dyDescent="0.25">
      <c r="A20" s="27"/>
      <c r="B20" s="41"/>
      <c r="C20" s="24"/>
      <c r="D20" s="24"/>
      <c r="E20" s="24"/>
      <c r="F20" s="24"/>
      <c r="G20" s="24"/>
      <c r="H20" s="25"/>
    </row>
    <row r="21" spans="1:8" ht="25.05" customHeight="1" x14ac:dyDescent="0.25">
      <c r="A21" s="27"/>
      <c r="B21" s="41"/>
      <c r="C21" s="24"/>
      <c r="D21" s="24"/>
      <c r="E21" s="24"/>
      <c r="F21" s="24"/>
      <c r="G21" s="24"/>
      <c r="H21" s="25"/>
    </row>
    <row r="22" spans="1:8" ht="25.05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ht="25.05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ht="25.05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ht="25.05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ht="25.05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ht="25.05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4.7E-2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H27"/>
  <sheetViews>
    <sheetView workbookViewId="0">
      <selection activeCell="D15" sqref="D15"/>
    </sheetView>
  </sheetViews>
  <sheetFormatPr defaultColWidth="8.88671875" defaultRowHeight="14.4" x14ac:dyDescent="0.25"/>
  <cols>
    <col min="2" max="2" width="12.6640625" customWidth="1"/>
    <col min="5" max="5" width="10.44140625" customWidth="1"/>
    <col min="6" max="6" width="12.44140625" customWidth="1"/>
    <col min="7" max="7" width="10.5546875" customWidth="1"/>
    <col min="8" max="8" width="11.88671875" customWidth="1"/>
  </cols>
  <sheetData>
    <row r="1" spans="1:8" ht="20.399999999999999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ht="40.049999999999997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 t="s">
        <v>267</v>
      </c>
      <c r="G2" s="119"/>
      <c r="H2" s="120"/>
    </row>
    <row r="3" spans="1:8" ht="28.05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268</v>
      </c>
      <c r="G3" s="122"/>
      <c r="H3" s="123"/>
    </row>
    <row r="4" spans="1:8" ht="25.95" customHeight="1" x14ac:dyDescent="0.25">
      <c r="A4" s="9" t="s">
        <v>7</v>
      </c>
      <c r="B4" s="108" t="s">
        <v>253</v>
      </c>
      <c r="C4" s="108"/>
      <c r="D4" s="109"/>
      <c r="E4" s="8" t="s">
        <v>8</v>
      </c>
      <c r="F4" s="110">
        <f>H27</f>
        <v>0.14100000000000001</v>
      </c>
      <c r="G4" s="110"/>
      <c r="H4" s="111"/>
    </row>
    <row r="5" spans="1:8" ht="25.05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ht="25.05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254</v>
      </c>
      <c r="F6" s="8" t="s">
        <v>255</v>
      </c>
      <c r="G6" s="8" t="s">
        <v>16</v>
      </c>
      <c r="H6" s="11" t="s">
        <v>17</v>
      </c>
    </row>
    <row r="7" spans="1:8" ht="25.05" customHeight="1" x14ac:dyDescent="0.25">
      <c r="A7" s="9" t="s">
        <v>264</v>
      </c>
      <c r="B7" s="17" t="s">
        <v>244</v>
      </c>
      <c r="C7" s="24"/>
      <c r="D7" s="24"/>
      <c r="E7" s="24"/>
      <c r="F7" s="8"/>
      <c r="G7" s="24"/>
      <c r="H7" s="11"/>
    </row>
    <row r="8" spans="1:8" ht="25.05" customHeight="1" x14ac:dyDescent="0.25">
      <c r="A8" s="12" t="s">
        <v>269</v>
      </c>
      <c r="B8" s="13" t="s">
        <v>270</v>
      </c>
      <c r="C8" s="24">
        <v>5.3</v>
      </c>
      <c r="D8" s="24"/>
      <c r="E8" s="24">
        <v>4</v>
      </c>
      <c r="F8" s="8">
        <v>7</v>
      </c>
      <c r="G8" s="24">
        <v>0.88800000000000001</v>
      </c>
      <c r="H8" s="11">
        <f>ROUND(C8*E8*F8*G8/1000,3)</f>
        <v>0.13200000000000001</v>
      </c>
    </row>
    <row r="9" spans="1:8" ht="25.05" customHeight="1" x14ac:dyDescent="0.25">
      <c r="A9" s="12" t="s">
        <v>266</v>
      </c>
      <c r="B9" s="17" t="s">
        <v>248</v>
      </c>
      <c r="C9" s="8"/>
      <c r="D9" s="8"/>
      <c r="E9" s="24"/>
      <c r="F9" s="8"/>
      <c r="G9" s="24"/>
      <c r="H9" s="11">
        <f>C9*E9*F9*G9</f>
        <v>0</v>
      </c>
    </row>
    <row r="10" spans="1:8" ht="25.05" customHeight="1" x14ac:dyDescent="0.25">
      <c r="A10" s="9"/>
      <c r="B10" s="13" t="s">
        <v>270</v>
      </c>
      <c r="C10" s="8">
        <v>2.5</v>
      </c>
      <c r="D10" s="8"/>
      <c r="E10" s="24">
        <v>4</v>
      </c>
      <c r="F10" s="8">
        <v>1</v>
      </c>
      <c r="G10" s="24">
        <v>0.88800000000000001</v>
      </c>
      <c r="H10" s="11">
        <f>ROUND(C10*E10*F10*G10/1000,3)</f>
        <v>8.9999999999999993E-3</v>
      </c>
    </row>
    <row r="11" spans="1:8" ht="25.05" customHeight="1" x14ac:dyDescent="0.25">
      <c r="A11" s="9"/>
      <c r="B11" s="21"/>
      <c r="C11" s="24"/>
      <c r="D11" s="24"/>
      <c r="E11" s="24"/>
      <c r="F11" s="8"/>
      <c r="G11" s="24"/>
      <c r="H11" s="10"/>
    </row>
    <row r="12" spans="1:8" ht="25.05" customHeight="1" x14ac:dyDescent="0.25">
      <c r="A12" s="27"/>
      <c r="B12" s="41"/>
      <c r="C12" s="24"/>
      <c r="D12" s="24"/>
      <c r="E12" s="24"/>
      <c r="F12" s="24"/>
      <c r="G12" s="24"/>
      <c r="H12" s="25"/>
    </row>
    <row r="13" spans="1:8" ht="25.05" customHeight="1" x14ac:dyDescent="0.25">
      <c r="A13" s="27"/>
      <c r="B13" s="41"/>
      <c r="C13" s="24"/>
      <c r="D13" s="24"/>
      <c r="E13" s="24"/>
      <c r="F13" s="24"/>
      <c r="G13" s="24"/>
      <c r="H13" s="25"/>
    </row>
    <row r="14" spans="1:8" ht="25.05" customHeight="1" x14ac:dyDescent="0.25">
      <c r="A14" s="27"/>
      <c r="B14" s="41"/>
      <c r="C14" s="24"/>
      <c r="D14" s="24"/>
      <c r="E14" s="24"/>
      <c r="F14" s="24"/>
      <c r="G14" s="24"/>
      <c r="H14" s="25"/>
    </row>
    <row r="15" spans="1:8" ht="25.05" customHeight="1" x14ac:dyDescent="0.25">
      <c r="A15" s="27"/>
      <c r="B15" s="41"/>
      <c r="C15" s="24"/>
      <c r="D15" s="24"/>
      <c r="E15" s="24"/>
      <c r="F15" s="24"/>
      <c r="G15" s="24"/>
      <c r="H15" s="25"/>
    </row>
    <row r="16" spans="1:8" ht="25.05" customHeight="1" x14ac:dyDescent="0.25">
      <c r="A16" s="27"/>
      <c r="B16" s="41"/>
      <c r="C16" s="24"/>
      <c r="D16" s="24"/>
      <c r="E16" s="24"/>
      <c r="F16" s="24"/>
      <c r="G16" s="24"/>
      <c r="H16" s="25"/>
    </row>
    <row r="17" spans="1:8" ht="25.05" customHeight="1" x14ac:dyDescent="0.25">
      <c r="A17" s="27"/>
      <c r="B17" s="41"/>
      <c r="C17" s="24"/>
      <c r="D17" s="24"/>
      <c r="E17" s="24"/>
      <c r="F17" s="24"/>
      <c r="G17" s="24"/>
      <c r="H17" s="25"/>
    </row>
    <row r="18" spans="1:8" ht="25.05" customHeight="1" x14ac:dyDescent="0.25">
      <c r="A18" s="27"/>
      <c r="B18" s="41"/>
      <c r="C18" s="24"/>
      <c r="D18" s="24"/>
      <c r="E18" s="24"/>
      <c r="F18" s="24"/>
      <c r="G18" s="24"/>
      <c r="H18" s="25"/>
    </row>
    <row r="19" spans="1:8" ht="25.05" customHeight="1" x14ac:dyDescent="0.25">
      <c r="A19" s="27"/>
      <c r="B19" s="41"/>
      <c r="C19" s="24"/>
      <c r="D19" s="24"/>
      <c r="E19" s="24"/>
      <c r="F19" s="24"/>
      <c r="G19" s="24"/>
      <c r="H19" s="25"/>
    </row>
    <row r="20" spans="1:8" ht="25.05" customHeight="1" x14ac:dyDescent="0.25">
      <c r="A20" s="27"/>
      <c r="B20" s="41"/>
      <c r="C20" s="24"/>
      <c r="D20" s="24"/>
      <c r="E20" s="24"/>
      <c r="F20" s="24"/>
      <c r="G20" s="24"/>
      <c r="H20" s="25"/>
    </row>
    <row r="21" spans="1:8" ht="25.05" customHeight="1" x14ac:dyDescent="0.25">
      <c r="A21" s="27"/>
      <c r="B21" s="41"/>
      <c r="C21" s="24"/>
      <c r="D21" s="24"/>
      <c r="E21" s="24"/>
      <c r="F21" s="24"/>
      <c r="G21" s="24"/>
      <c r="H21" s="25"/>
    </row>
    <row r="22" spans="1:8" ht="25.05" customHeight="1" x14ac:dyDescent="0.25">
      <c r="A22" s="27"/>
      <c r="B22" s="41"/>
      <c r="C22" s="24"/>
      <c r="D22" s="24"/>
      <c r="E22" s="24"/>
      <c r="F22" s="24"/>
      <c r="G22" s="24"/>
      <c r="H22" s="25"/>
    </row>
    <row r="23" spans="1:8" ht="25.05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ht="25.05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ht="25.05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ht="25.05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ht="25.05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0.14100000000000001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H25"/>
  <sheetViews>
    <sheetView view="pageBreakPreview" zoomScaleNormal="100" workbookViewId="0">
      <selection activeCell="D15" sqref="D15"/>
    </sheetView>
  </sheetViews>
  <sheetFormatPr defaultColWidth="9" defaultRowHeight="14.4" x14ac:dyDescent="0.25"/>
  <cols>
    <col min="1" max="1" width="8.33203125" customWidth="1"/>
    <col min="2" max="2" width="16.6640625" customWidth="1"/>
    <col min="4" max="4" width="7.109375" customWidth="1"/>
    <col min="5" max="5" width="8.77734375" customWidth="1"/>
    <col min="6" max="6" width="13.33203125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39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/>
      <c r="G2" s="119"/>
      <c r="H2" s="120"/>
    </row>
    <row r="3" spans="1:8" s="1" customFormat="1" ht="31.05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271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272</v>
      </c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273</v>
      </c>
      <c r="F6" s="8" t="s">
        <v>274</v>
      </c>
      <c r="G6" s="8" t="s">
        <v>16</v>
      </c>
      <c r="H6" s="11" t="s">
        <v>275</v>
      </c>
    </row>
    <row r="7" spans="1:8" s="1" customFormat="1" ht="24.9" customHeight="1" x14ac:dyDescent="0.25">
      <c r="A7" s="12" t="s">
        <v>256</v>
      </c>
      <c r="B7" s="13" t="s">
        <v>276</v>
      </c>
      <c r="C7" s="8"/>
      <c r="D7" s="8"/>
      <c r="E7" s="8"/>
      <c r="F7" s="14"/>
      <c r="G7" s="8"/>
      <c r="H7" s="11"/>
    </row>
    <row r="8" spans="1:8" s="1" customFormat="1" ht="36" customHeight="1" x14ac:dyDescent="0.25">
      <c r="A8" s="9">
        <v>1</v>
      </c>
      <c r="B8" s="13" t="s">
        <v>270</v>
      </c>
      <c r="C8" s="8"/>
      <c r="D8" s="8"/>
      <c r="E8" s="8">
        <v>8</v>
      </c>
      <c r="F8" s="8">
        <v>7</v>
      </c>
      <c r="G8" s="8"/>
      <c r="H8" s="10">
        <v>56</v>
      </c>
    </row>
    <row r="9" spans="1:8" s="1" customFormat="1" ht="34.799999999999997" customHeight="1" x14ac:dyDescent="0.25">
      <c r="A9" s="12" t="s">
        <v>230</v>
      </c>
      <c r="B9" s="17" t="s">
        <v>277</v>
      </c>
      <c r="C9" s="8"/>
      <c r="D9" s="8"/>
      <c r="E9" s="8"/>
      <c r="F9" s="8"/>
      <c r="G9" s="8"/>
      <c r="H9" s="11"/>
    </row>
    <row r="10" spans="1:8" s="1" customFormat="1" ht="30.6" customHeight="1" x14ac:dyDescent="0.25">
      <c r="A10" s="9"/>
      <c r="B10" s="13" t="s">
        <v>270</v>
      </c>
      <c r="C10" s="8"/>
      <c r="D10" s="8"/>
      <c r="E10" s="8">
        <v>2</v>
      </c>
      <c r="F10" s="8">
        <v>2</v>
      </c>
      <c r="G10" s="8"/>
      <c r="H10" s="10">
        <v>4</v>
      </c>
    </row>
    <row r="11" spans="1:8" s="1" customFormat="1" ht="24.9" customHeight="1" x14ac:dyDescent="0.25">
      <c r="A11" s="12"/>
      <c r="B11" s="17"/>
      <c r="C11" s="18"/>
      <c r="D11" s="18"/>
      <c r="E11" s="18"/>
      <c r="F11" s="8"/>
      <c r="G11" s="18"/>
      <c r="H11" s="10"/>
    </row>
    <row r="12" spans="1:8" s="1" customFormat="1" ht="24.9" customHeight="1" x14ac:dyDescent="0.25">
      <c r="A12" s="9"/>
      <c r="B12" s="17"/>
      <c r="C12" s="18"/>
      <c r="D12" s="18"/>
      <c r="E12" s="18"/>
      <c r="F12" s="8"/>
      <c r="G12" s="18"/>
      <c r="H12" s="10"/>
    </row>
    <row r="13" spans="1:8" s="1" customFormat="1" ht="24.9" customHeight="1" x14ac:dyDescent="0.25">
      <c r="A13" s="12"/>
      <c r="B13" s="17"/>
      <c r="C13" s="18"/>
      <c r="D13" s="18"/>
      <c r="E13" s="18"/>
      <c r="F13" s="8"/>
      <c r="G13" s="18"/>
      <c r="H13" s="10"/>
    </row>
    <row r="14" spans="1:8" s="1" customFormat="1" ht="24.9" customHeight="1" x14ac:dyDescent="0.25">
      <c r="A14" s="9"/>
      <c r="B14" s="17"/>
      <c r="C14" s="8"/>
      <c r="D14" s="8"/>
      <c r="E14" s="18"/>
      <c r="F14" s="8"/>
      <c r="G14" s="18"/>
      <c r="H14" s="10"/>
    </row>
    <row r="15" spans="1:8" s="2" customFormat="1" ht="24.9" customHeight="1" x14ac:dyDescent="0.25">
      <c r="A15" s="12"/>
      <c r="B15" s="17"/>
      <c r="C15" s="8"/>
      <c r="D15" s="8"/>
      <c r="E15" s="24"/>
      <c r="F15" s="8"/>
      <c r="G15" s="24"/>
      <c r="H15" s="10"/>
    </row>
    <row r="16" spans="1:8" s="1" customFormat="1" ht="24.9" customHeight="1" x14ac:dyDescent="0.25">
      <c r="A16" s="9"/>
      <c r="B16" s="21"/>
      <c r="C16" s="8"/>
      <c r="D16" s="8"/>
      <c r="E16" s="18"/>
      <c r="F16" s="8"/>
      <c r="G16" s="18"/>
      <c r="H16" s="10"/>
    </row>
    <row r="17" spans="1:8" s="1" customFormat="1" ht="24.9" customHeight="1" x14ac:dyDescent="0.25">
      <c r="A17" s="12"/>
      <c r="B17" s="21"/>
      <c r="C17" s="18"/>
      <c r="D17" s="18"/>
      <c r="E17" s="18"/>
      <c r="F17" s="8"/>
      <c r="G17" s="18"/>
      <c r="H17" s="10"/>
    </row>
    <row r="18" spans="1:8" s="1" customFormat="1" ht="24.9" customHeight="1" x14ac:dyDescent="0.25">
      <c r="A18" s="9"/>
      <c r="B18" s="21"/>
      <c r="C18" s="18"/>
      <c r="D18" s="18"/>
      <c r="E18" s="18"/>
      <c r="F18" s="8"/>
      <c r="G18" s="18"/>
      <c r="H18" s="10"/>
    </row>
    <row r="19" spans="1:8" s="1" customFormat="1" ht="24.9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3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3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9" t="s">
        <v>18</v>
      </c>
      <c r="B25" s="30"/>
      <c r="C25" s="31"/>
      <c r="D25" s="31"/>
      <c r="E25" s="31"/>
      <c r="F25" s="31"/>
      <c r="G25" s="31"/>
      <c r="H25" s="39">
        <f>SUM(H7:H24)</f>
        <v>60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H27"/>
  <sheetViews>
    <sheetView view="pageBreakPreview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278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>
        <f>H27</f>
        <v>10.520000000000001</v>
      </c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 t="s">
        <v>16</v>
      </c>
      <c r="H6" s="11" t="s">
        <v>17</v>
      </c>
    </row>
    <row r="7" spans="1:8" s="1" customFormat="1" ht="24.9" customHeight="1" x14ac:dyDescent="0.25">
      <c r="A7" s="12" t="s">
        <v>32</v>
      </c>
      <c r="B7" s="37" t="s">
        <v>218</v>
      </c>
      <c r="C7" s="8"/>
      <c r="D7" s="8"/>
      <c r="E7" s="8"/>
      <c r="F7" s="14"/>
      <c r="G7" s="8"/>
      <c r="H7" s="11"/>
    </row>
    <row r="8" spans="1:8" s="1" customFormat="1" ht="24.9" customHeight="1" x14ac:dyDescent="0.25">
      <c r="A8" s="9">
        <v>1</v>
      </c>
      <c r="B8" s="17" t="s">
        <v>219</v>
      </c>
      <c r="C8" s="8">
        <v>12.4</v>
      </c>
      <c r="D8" s="8">
        <v>0.15</v>
      </c>
      <c r="E8" s="8">
        <v>5.2</v>
      </c>
      <c r="F8" s="8">
        <v>1</v>
      </c>
      <c r="G8" s="8"/>
      <c r="H8" s="10">
        <f t="shared" ref="H8:H10" si="0">ROUND(C8*D8*E8*F8,2)</f>
        <v>9.67</v>
      </c>
    </row>
    <row r="9" spans="1:8" s="1" customFormat="1" ht="24.9" customHeight="1" x14ac:dyDescent="0.25">
      <c r="A9" s="12">
        <v>2</v>
      </c>
      <c r="B9" s="24" t="s">
        <v>220</v>
      </c>
      <c r="C9" s="24">
        <v>1.5</v>
      </c>
      <c r="D9" s="24">
        <v>0.2</v>
      </c>
      <c r="E9" s="24">
        <v>4.9000000000000004</v>
      </c>
      <c r="F9" s="24">
        <v>1</v>
      </c>
      <c r="G9" s="24"/>
      <c r="H9" s="10">
        <f t="shared" si="0"/>
        <v>1.47</v>
      </c>
    </row>
    <row r="10" spans="1:8" s="1" customFormat="1" ht="24.9" customHeight="1" x14ac:dyDescent="0.25">
      <c r="A10" s="9">
        <v>3</v>
      </c>
      <c r="B10" s="17" t="s">
        <v>221</v>
      </c>
      <c r="C10" s="8">
        <v>1.8</v>
      </c>
      <c r="D10" s="8">
        <v>0.15</v>
      </c>
      <c r="E10" s="8">
        <v>2.2999999999999998</v>
      </c>
      <c r="F10" s="8">
        <v>-1</v>
      </c>
      <c r="G10" s="8"/>
      <c r="H10" s="10">
        <f t="shared" si="0"/>
        <v>-0.62</v>
      </c>
    </row>
    <row r="11" spans="1:8" s="1" customFormat="1" ht="24.9" customHeight="1" x14ac:dyDescent="0.25">
      <c r="A11" s="12"/>
      <c r="B11" s="17"/>
      <c r="C11" s="24"/>
      <c r="D11" s="24"/>
      <c r="E11" s="24"/>
      <c r="F11" s="24"/>
      <c r="G11" s="24"/>
      <c r="H11" s="42"/>
    </row>
    <row r="12" spans="1:8" s="1" customFormat="1" ht="24.9" customHeight="1" x14ac:dyDescent="0.25">
      <c r="A12" s="9"/>
      <c r="B12" s="41"/>
      <c r="C12" s="24"/>
      <c r="D12" s="24"/>
      <c r="E12" s="24"/>
      <c r="F12" s="24"/>
      <c r="G12" s="24"/>
      <c r="H12" s="24"/>
    </row>
    <row r="13" spans="1:8" s="1" customFormat="1" ht="24.9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s="1" customFormat="1" ht="24.9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s="2" customFormat="1" ht="24.9" customHeight="1" x14ac:dyDescent="0.25">
      <c r="A15" s="40"/>
      <c r="B15" s="41"/>
      <c r="C15" s="24"/>
      <c r="D15" s="24"/>
      <c r="E15" s="24"/>
      <c r="F15" s="24"/>
      <c r="G15" s="24"/>
      <c r="H15" s="25"/>
    </row>
    <row r="16" spans="1:8" s="1" customFormat="1" ht="24.9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s="1" customFormat="1" ht="24.9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s="1" customFormat="1" ht="24.9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s="1" customFormat="1" ht="24.9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10.520000000000001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H27"/>
  <sheetViews>
    <sheetView view="pageBreakPreview" topLeftCell="A11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279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>
        <f>H27</f>
        <v>1.81</v>
      </c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 t="s">
        <v>16</v>
      </c>
      <c r="H6" s="11" t="s">
        <v>17</v>
      </c>
    </row>
    <row r="7" spans="1:8" s="1" customFormat="1" ht="24.9" customHeight="1" x14ac:dyDescent="0.25">
      <c r="A7" s="12" t="s">
        <v>32</v>
      </c>
      <c r="B7" s="17" t="s">
        <v>229</v>
      </c>
      <c r="C7" s="18"/>
      <c r="D7" s="18"/>
      <c r="E7" s="18"/>
      <c r="F7" s="18"/>
      <c r="G7" s="18"/>
      <c r="H7" s="18"/>
    </row>
    <row r="8" spans="1:8" s="1" customFormat="1" ht="24.9" customHeight="1" x14ac:dyDescent="0.25">
      <c r="A8" s="12"/>
      <c r="B8" s="17">
        <v>1</v>
      </c>
      <c r="C8" s="8">
        <v>0.26</v>
      </c>
      <c r="D8" s="8">
        <v>0.15</v>
      </c>
      <c r="E8" s="8">
        <v>5.3</v>
      </c>
      <c r="F8" s="14">
        <v>7</v>
      </c>
      <c r="G8" s="8"/>
      <c r="H8" s="10">
        <f t="shared" ref="H8:H10" si="0">ROUND(C8*D8*E8*F8,2)</f>
        <v>1.45</v>
      </c>
    </row>
    <row r="9" spans="1:8" s="1" customFormat="1" ht="24.9" customHeight="1" x14ac:dyDescent="0.25">
      <c r="A9" s="9" t="s">
        <v>230</v>
      </c>
      <c r="B9" s="7" t="s">
        <v>231</v>
      </c>
      <c r="C9" s="8">
        <v>0.15</v>
      </c>
      <c r="D9" s="8">
        <v>0.15</v>
      </c>
      <c r="E9" s="8">
        <v>2.2999999999999998</v>
      </c>
      <c r="F9" s="8">
        <v>2</v>
      </c>
      <c r="G9" s="8"/>
      <c r="H9" s="10">
        <f t="shared" si="0"/>
        <v>0.1</v>
      </c>
    </row>
    <row r="10" spans="1:8" s="1" customFormat="1" ht="24.9" customHeight="1" x14ac:dyDescent="0.25">
      <c r="A10" s="9" t="s">
        <v>280</v>
      </c>
      <c r="B10" s="37" t="s">
        <v>234</v>
      </c>
      <c r="C10" s="8">
        <v>2.2999999999999998</v>
      </c>
      <c r="D10" s="8">
        <v>0.15</v>
      </c>
      <c r="E10" s="8">
        <v>0.2</v>
      </c>
      <c r="F10" s="8">
        <v>1</v>
      </c>
      <c r="G10" s="8"/>
      <c r="H10" s="10">
        <f t="shared" si="0"/>
        <v>7.0000000000000007E-2</v>
      </c>
    </row>
    <row r="11" spans="1:8" s="1" customFormat="1" ht="24.9" customHeight="1" x14ac:dyDescent="0.25">
      <c r="A11" s="12" t="s">
        <v>281</v>
      </c>
      <c r="B11" s="17" t="s">
        <v>237</v>
      </c>
      <c r="C11" s="38"/>
      <c r="D11" s="38"/>
      <c r="E11" s="38"/>
      <c r="F11" s="38"/>
      <c r="G11" s="38"/>
      <c r="H11" s="38"/>
    </row>
    <row r="12" spans="1:8" s="1" customFormat="1" ht="24.9" customHeight="1" x14ac:dyDescent="0.25">
      <c r="A12" s="9"/>
      <c r="B12" s="17">
        <v>1</v>
      </c>
      <c r="C12" s="8">
        <v>12.4</v>
      </c>
      <c r="D12" s="8">
        <v>0.15</v>
      </c>
      <c r="E12" s="8">
        <v>0.1</v>
      </c>
      <c r="F12" s="14">
        <v>1</v>
      </c>
      <c r="G12" s="8"/>
      <c r="H12" s="10">
        <f>ROUND(C12*D12*E12*F12,2)</f>
        <v>0.19</v>
      </c>
    </row>
    <row r="13" spans="1:8" s="1" customFormat="1" ht="24.9" customHeight="1" x14ac:dyDescent="0.25">
      <c r="A13" s="27"/>
      <c r="B13" s="28"/>
      <c r="C13" s="18"/>
      <c r="D13" s="18"/>
      <c r="E13" s="18"/>
      <c r="F13" s="18"/>
      <c r="G13" s="18"/>
      <c r="H13" s="26"/>
    </row>
    <row r="14" spans="1:8" s="1" customFormat="1" ht="24.9" customHeight="1" x14ac:dyDescent="0.25">
      <c r="A14" s="27"/>
      <c r="B14" s="28"/>
      <c r="C14" s="18"/>
      <c r="D14" s="18"/>
      <c r="E14" s="18"/>
      <c r="F14" s="18"/>
      <c r="G14" s="18"/>
      <c r="H14" s="26"/>
    </row>
    <row r="15" spans="1:8" s="2" customFormat="1" ht="24.9" customHeight="1" x14ac:dyDescent="0.25">
      <c r="A15" s="40"/>
      <c r="B15" s="41"/>
      <c r="C15" s="24"/>
      <c r="D15" s="24"/>
      <c r="E15" s="24"/>
      <c r="F15" s="24"/>
      <c r="G15" s="24"/>
      <c r="H15" s="25"/>
    </row>
    <row r="16" spans="1:8" s="1" customFormat="1" ht="24.9" customHeight="1" x14ac:dyDescent="0.25">
      <c r="A16" s="27"/>
      <c r="B16" s="28"/>
      <c r="C16" s="18"/>
      <c r="D16" s="18"/>
      <c r="E16" s="18"/>
      <c r="F16" s="18"/>
      <c r="G16" s="18"/>
      <c r="H16" s="26"/>
    </row>
    <row r="17" spans="1:8" s="1" customFormat="1" ht="24.9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s="1" customFormat="1" ht="24.9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s="1" customFormat="1" ht="24.9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1.81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H27"/>
  <sheetViews>
    <sheetView view="pageBreakPreview" topLeftCell="A12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43" t="s">
        <v>147</v>
      </c>
      <c r="C2" s="141"/>
      <c r="D2" s="142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214</v>
      </c>
      <c r="C3" s="108"/>
      <c r="D3" s="109"/>
      <c r="E3" s="8" t="s">
        <v>6</v>
      </c>
      <c r="F3" s="121" t="s">
        <v>282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>
        <f>H27</f>
        <v>12.330000000000002</v>
      </c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 t="s">
        <v>16</v>
      </c>
      <c r="H6" s="11" t="s">
        <v>17</v>
      </c>
    </row>
    <row r="7" spans="1:8" s="1" customFormat="1" ht="24.9" customHeight="1" x14ac:dyDescent="0.25">
      <c r="A7" s="12" t="s">
        <v>32</v>
      </c>
      <c r="B7" s="17" t="s">
        <v>229</v>
      </c>
      <c r="C7" s="18"/>
      <c r="D7" s="18"/>
      <c r="E7" s="18"/>
      <c r="F7" s="18"/>
      <c r="G7" s="18"/>
      <c r="H7" s="18"/>
    </row>
    <row r="8" spans="1:8" s="1" customFormat="1" ht="24.9" customHeight="1" x14ac:dyDescent="0.25">
      <c r="A8" s="12"/>
      <c r="B8" s="17">
        <v>1</v>
      </c>
      <c r="C8" s="8">
        <v>0.26</v>
      </c>
      <c r="D8" s="8">
        <v>0.15</v>
      </c>
      <c r="E8" s="8">
        <v>5.3</v>
      </c>
      <c r="F8" s="14">
        <v>7</v>
      </c>
      <c r="G8" s="8"/>
      <c r="H8" s="10">
        <f t="shared" ref="H8:H10" si="0">ROUND(C8*D8*E8*F8,2)</f>
        <v>1.45</v>
      </c>
    </row>
    <row r="9" spans="1:8" s="1" customFormat="1" ht="24.9" customHeight="1" x14ac:dyDescent="0.25">
      <c r="A9" s="9" t="s">
        <v>230</v>
      </c>
      <c r="B9" s="7" t="s">
        <v>231</v>
      </c>
      <c r="C9" s="8">
        <v>0.15</v>
      </c>
      <c r="D9" s="8">
        <v>0.15</v>
      </c>
      <c r="E9" s="8">
        <v>2.2999999999999998</v>
      </c>
      <c r="F9" s="8">
        <v>2</v>
      </c>
      <c r="G9" s="8"/>
      <c r="H9" s="10">
        <f t="shared" si="0"/>
        <v>0.1</v>
      </c>
    </row>
    <row r="10" spans="1:8" s="1" customFormat="1" ht="24.9" customHeight="1" x14ac:dyDescent="0.25">
      <c r="A10" s="9" t="s">
        <v>280</v>
      </c>
      <c r="B10" s="37" t="s">
        <v>234</v>
      </c>
      <c r="C10" s="8">
        <v>2.2999999999999998</v>
      </c>
      <c r="D10" s="8">
        <v>0.15</v>
      </c>
      <c r="E10" s="8">
        <v>0.2</v>
      </c>
      <c r="F10" s="8">
        <v>1</v>
      </c>
      <c r="G10" s="8"/>
      <c r="H10" s="10">
        <f t="shared" si="0"/>
        <v>7.0000000000000007E-2</v>
      </c>
    </row>
    <row r="11" spans="1:8" s="1" customFormat="1" ht="24.9" customHeight="1" x14ac:dyDescent="0.25">
      <c r="A11" s="12" t="s">
        <v>281</v>
      </c>
      <c r="B11" s="17" t="s">
        <v>237</v>
      </c>
      <c r="C11" s="38"/>
      <c r="D11" s="38"/>
      <c r="E11" s="38"/>
      <c r="F11" s="38"/>
      <c r="G11" s="38"/>
      <c r="H11" s="38"/>
    </row>
    <row r="12" spans="1:8" s="1" customFormat="1" ht="24.9" customHeight="1" x14ac:dyDescent="0.25">
      <c r="A12" s="9"/>
      <c r="B12" s="17">
        <v>1</v>
      </c>
      <c r="C12" s="8">
        <v>12.4</v>
      </c>
      <c r="D12" s="8">
        <v>0.15</v>
      </c>
      <c r="E12" s="8">
        <v>0.1</v>
      </c>
      <c r="F12" s="14">
        <v>1</v>
      </c>
      <c r="G12" s="8"/>
      <c r="H12" s="10">
        <f t="shared" ref="H12:H16" si="1">ROUND(C12*D12*E12*F12,2)</f>
        <v>0.19</v>
      </c>
    </row>
    <row r="13" spans="1:8" s="1" customFormat="1" ht="24.9" customHeight="1" x14ac:dyDescent="0.25">
      <c r="A13" s="12" t="s">
        <v>283</v>
      </c>
      <c r="B13" s="37" t="s">
        <v>218</v>
      </c>
      <c r="C13" s="8"/>
      <c r="D13" s="8"/>
      <c r="E13" s="8"/>
      <c r="F13" s="14"/>
      <c r="G13" s="8"/>
      <c r="H13" s="11"/>
    </row>
    <row r="14" spans="1:8" s="1" customFormat="1" ht="24.9" customHeight="1" x14ac:dyDescent="0.25">
      <c r="A14" s="9">
        <v>1</v>
      </c>
      <c r="B14" s="17" t="s">
        <v>219</v>
      </c>
      <c r="C14" s="8">
        <v>12.4</v>
      </c>
      <c r="D14" s="8">
        <v>0.15</v>
      </c>
      <c r="E14" s="8">
        <v>5.2</v>
      </c>
      <c r="F14" s="8">
        <v>1</v>
      </c>
      <c r="G14" s="8"/>
      <c r="H14" s="10">
        <f t="shared" si="1"/>
        <v>9.67</v>
      </c>
    </row>
    <row r="15" spans="1:8" s="2" customFormat="1" ht="24.9" customHeight="1" x14ac:dyDescent="0.25">
      <c r="A15" s="12">
        <v>2</v>
      </c>
      <c r="B15" s="24" t="s">
        <v>220</v>
      </c>
      <c r="C15" s="24">
        <v>1.5</v>
      </c>
      <c r="D15" s="24">
        <v>0.2</v>
      </c>
      <c r="E15" s="24">
        <v>4.9000000000000004</v>
      </c>
      <c r="F15" s="24">
        <v>1</v>
      </c>
      <c r="G15" s="24"/>
      <c r="H15" s="10">
        <f t="shared" si="1"/>
        <v>1.47</v>
      </c>
    </row>
    <row r="16" spans="1:8" s="1" customFormat="1" ht="24.9" customHeight="1" x14ac:dyDescent="0.25">
      <c r="A16" s="9">
        <v>3</v>
      </c>
      <c r="B16" s="17" t="s">
        <v>221</v>
      </c>
      <c r="C16" s="8">
        <v>1.8</v>
      </c>
      <c r="D16" s="8">
        <v>0.15</v>
      </c>
      <c r="E16" s="8">
        <v>2.2999999999999998</v>
      </c>
      <c r="F16" s="8">
        <v>-1</v>
      </c>
      <c r="G16" s="8"/>
      <c r="H16" s="10">
        <f t="shared" si="1"/>
        <v>-0.62</v>
      </c>
    </row>
    <row r="17" spans="1:8" s="1" customFormat="1" ht="24.9" customHeight="1" x14ac:dyDescent="0.25">
      <c r="A17" s="27"/>
      <c r="B17" s="28"/>
      <c r="C17" s="18"/>
      <c r="D17" s="18"/>
      <c r="E17" s="18"/>
      <c r="F17" s="18"/>
      <c r="G17" s="18"/>
      <c r="H17" s="26"/>
    </row>
    <row r="18" spans="1:8" s="1" customFormat="1" ht="24.9" customHeight="1" x14ac:dyDescent="0.25">
      <c r="A18" s="27"/>
      <c r="B18" s="28"/>
      <c r="C18" s="18"/>
      <c r="D18" s="18"/>
      <c r="E18" s="18"/>
      <c r="F18" s="18"/>
      <c r="G18" s="18"/>
      <c r="H18" s="26"/>
    </row>
    <row r="19" spans="1:8" s="1" customFormat="1" ht="24.9" customHeight="1" x14ac:dyDescent="0.25">
      <c r="A19" s="27"/>
      <c r="B19" s="28"/>
      <c r="C19" s="18"/>
      <c r="D19" s="18"/>
      <c r="E19" s="18"/>
      <c r="F19" s="18"/>
      <c r="G19" s="18"/>
      <c r="H19" s="26"/>
    </row>
    <row r="20" spans="1:8" s="1" customFormat="1" ht="24.9" customHeight="1" x14ac:dyDescent="0.25">
      <c r="A20" s="27"/>
      <c r="B20" s="28"/>
      <c r="C20" s="18"/>
      <c r="D20" s="18"/>
      <c r="E20" s="18"/>
      <c r="F20" s="18"/>
      <c r="G20" s="18"/>
      <c r="H20" s="26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9">
        <f>SUM(H7:H26)</f>
        <v>12.330000000000002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H27"/>
  <sheetViews>
    <sheetView view="pageBreakPreview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16" t="s">
        <v>2</v>
      </c>
      <c r="C2" s="116"/>
      <c r="D2" s="117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5</v>
      </c>
      <c r="C3" s="108"/>
      <c r="D3" s="109"/>
      <c r="E3" s="8" t="s">
        <v>6</v>
      </c>
      <c r="F3" s="121"/>
      <c r="G3" s="122"/>
      <c r="H3" s="123"/>
    </row>
    <row r="4" spans="1:8" s="1" customFormat="1" ht="24.9" customHeight="1" x14ac:dyDescent="0.25">
      <c r="A4" s="9" t="s">
        <v>7</v>
      </c>
      <c r="B4" s="108" t="s">
        <v>284</v>
      </c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 t="s">
        <v>16</v>
      </c>
      <c r="H6" s="11" t="s">
        <v>17</v>
      </c>
    </row>
    <row r="7" spans="1:8" s="1" customFormat="1" ht="24.9" customHeight="1" x14ac:dyDescent="0.25">
      <c r="A7" s="12" t="s">
        <v>32</v>
      </c>
      <c r="B7" s="13" t="s">
        <v>285</v>
      </c>
      <c r="C7" s="8"/>
      <c r="D7" s="8"/>
      <c r="E7" s="8"/>
      <c r="F7" s="14"/>
      <c r="G7" s="8"/>
      <c r="H7" s="15"/>
    </row>
    <row r="8" spans="1:8" s="1" customFormat="1" ht="24.9" customHeight="1" x14ac:dyDescent="0.25">
      <c r="A8" s="9">
        <v>1</v>
      </c>
      <c r="B8" s="17" t="s">
        <v>286</v>
      </c>
      <c r="C8" s="8">
        <f>37*6.02+77*6.02+113.812+236.852</f>
        <v>1036.944</v>
      </c>
      <c r="D8" s="8"/>
      <c r="E8" s="8"/>
      <c r="F8" s="8"/>
      <c r="G8" s="8">
        <v>6.1700000000000001E-3</v>
      </c>
      <c r="H8" s="34">
        <f>C8*10*10*0.00617/1000</f>
        <v>0.63979444799999996</v>
      </c>
    </row>
    <row r="9" spans="1:8" s="1" customFormat="1" ht="24.9" customHeight="1" x14ac:dyDescent="0.25">
      <c r="A9" s="12">
        <v>2</v>
      </c>
      <c r="B9" s="17" t="s">
        <v>287</v>
      </c>
      <c r="C9" s="8">
        <f>5.85*32</f>
        <v>187.2</v>
      </c>
      <c r="D9" s="8"/>
      <c r="E9" s="8"/>
      <c r="F9" s="8"/>
      <c r="G9" s="8">
        <v>6.1700000000000001E-3</v>
      </c>
      <c r="H9" s="34">
        <f>C9*10*10*0.00617/1000</f>
        <v>0.11550240000000001</v>
      </c>
    </row>
    <row r="10" spans="1:8" s="1" customFormat="1" ht="24.9" customHeight="1" x14ac:dyDescent="0.25">
      <c r="A10" s="9">
        <v>3</v>
      </c>
      <c r="B10" s="17" t="s">
        <v>288</v>
      </c>
      <c r="C10" s="8">
        <f>32.55+35.23</f>
        <v>67.78</v>
      </c>
      <c r="D10" s="8"/>
      <c r="E10" s="8"/>
      <c r="F10" s="8"/>
      <c r="G10" s="8">
        <v>6.1700000000000001E-3</v>
      </c>
      <c r="H10" s="22">
        <f>C10*6*6*G10/1000</f>
        <v>1.50552936E-2</v>
      </c>
    </row>
    <row r="11" spans="1:8" s="1" customFormat="1" ht="24.9" customHeight="1" x14ac:dyDescent="0.25">
      <c r="A11" s="23" t="s">
        <v>230</v>
      </c>
      <c r="B11" s="17"/>
      <c r="C11" s="18"/>
      <c r="D11" s="18"/>
      <c r="E11" s="18"/>
      <c r="F11" s="18"/>
      <c r="G11" s="18"/>
      <c r="H11" s="35"/>
    </row>
    <row r="12" spans="1:8" s="1" customFormat="1" ht="24.9" customHeight="1" x14ac:dyDescent="0.25">
      <c r="A12" s="9">
        <v>1</v>
      </c>
      <c r="B12" s="17"/>
      <c r="C12" s="8"/>
      <c r="D12" s="18"/>
      <c r="E12" s="18"/>
      <c r="F12" s="18"/>
      <c r="G12" s="8"/>
      <c r="H12" s="22"/>
    </row>
    <row r="13" spans="1:8" s="1" customFormat="1" ht="24.9" customHeight="1" x14ac:dyDescent="0.25">
      <c r="A13" s="23" t="s">
        <v>280</v>
      </c>
      <c r="B13" s="17"/>
      <c r="C13" s="18"/>
      <c r="D13" s="18"/>
      <c r="E13" s="18"/>
      <c r="F13" s="18"/>
      <c r="G13" s="18"/>
      <c r="H13" s="26"/>
    </row>
    <row r="14" spans="1:8" s="1" customFormat="1" ht="24.9" customHeight="1" x14ac:dyDescent="0.25">
      <c r="A14" s="9">
        <v>1</v>
      </c>
      <c r="B14" s="17"/>
      <c r="C14" s="8"/>
      <c r="D14" s="18"/>
      <c r="E14" s="18"/>
      <c r="F14" s="18"/>
      <c r="G14" s="8"/>
      <c r="H14" s="22"/>
    </row>
    <row r="15" spans="1:8" s="2" customFormat="1" ht="24.9" customHeight="1" x14ac:dyDescent="0.25">
      <c r="A15" s="23" t="s">
        <v>281</v>
      </c>
      <c r="B15" s="17"/>
      <c r="C15" s="8"/>
      <c r="D15" s="24"/>
      <c r="E15" s="24"/>
      <c r="F15" s="24"/>
      <c r="G15" s="24"/>
      <c r="H15" s="25"/>
    </row>
    <row r="16" spans="1:8" s="1" customFormat="1" ht="24.9" customHeight="1" x14ac:dyDescent="0.25">
      <c r="A16" s="9">
        <v>1</v>
      </c>
      <c r="B16" s="17"/>
      <c r="C16" s="8"/>
      <c r="D16" s="18"/>
      <c r="E16" s="18"/>
      <c r="F16" s="18"/>
      <c r="G16" s="8"/>
      <c r="H16" s="22"/>
    </row>
    <row r="17" spans="1:8" s="1" customFormat="1" ht="24.9" customHeight="1" x14ac:dyDescent="0.25">
      <c r="A17" s="9">
        <v>2</v>
      </c>
      <c r="B17" s="17"/>
      <c r="C17" s="8"/>
      <c r="D17" s="18"/>
      <c r="E17" s="18"/>
      <c r="F17" s="18"/>
      <c r="G17" s="8"/>
      <c r="H17" s="22"/>
    </row>
    <row r="18" spans="1:8" s="1" customFormat="1" ht="24.9" customHeight="1" x14ac:dyDescent="0.25">
      <c r="A18" s="23" t="s">
        <v>283</v>
      </c>
      <c r="B18" s="17"/>
      <c r="C18" s="8"/>
      <c r="D18" s="18"/>
      <c r="E18" s="18"/>
      <c r="F18" s="18"/>
      <c r="G18" s="8"/>
      <c r="H18" s="26"/>
    </row>
    <row r="19" spans="1:8" s="1" customFormat="1" ht="24.9" customHeight="1" x14ac:dyDescent="0.25">
      <c r="A19" s="9">
        <v>1</v>
      </c>
      <c r="B19" s="17"/>
      <c r="C19" s="8"/>
      <c r="D19" s="18"/>
      <c r="E19" s="18"/>
      <c r="F19" s="18"/>
      <c r="G19" s="8"/>
      <c r="H19" s="22"/>
    </row>
    <row r="20" spans="1:8" s="1" customFormat="1" ht="24.9" customHeight="1" x14ac:dyDescent="0.25">
      <c r="A20" s="9">
        <v>2</v>
      </c>
      <c r="B20" s="17"/>
      <c r="C20" s="8"/>
      <c r="D20" s="18"/>
      <c r="E20" s="18"/>
      <c r="F20" s="18"/>
      <c r="G20" s="8"/>
      <c r="H20" s="22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6">
        <f>SUM(H7:H26)</f>
        <v>0.77035214159999998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H27"/>
  <sheetViews>
    <sheetView view="pageBreakPreview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16" t="s">
        <v>2</v>
      </c>
      <c r="C2" s="116"/>
      <c r="D2" s="117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5</v>
      </c>
      <c r="C3" s="108"/>
      <c r="D3" s="109"/>
      <c r="E3" s="8" t="s">
        <v>6</v>
      </c>
      <c r="F3" s="121" t="s">
        <v>289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290</v>
      </c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15</v>
      </c>
      <c r="G6" s="8" t="s">
        <v>16</v>
      </c>
      <c r="H6" s="11" t="s">
        <v>17</v>
      </c>
    </row>
    <row r="7" spans="1:8" s="1" customFormat="1" ht="24.9" customHeight="1" x14ac:dyDescent="0.25">
      <c r="A7" s="12" t="s">
        <v>32</v>
      </c>
      <c r="B7" s="13" t="s">
        <v>291</v>
      </c>
      <c r="C7" s="8"/>
      <c r="D7" s="8"/>
      <c r="E7" s="8"/>
      <c r="F7" s="14"/>
      <c r="G7" s="8"/>
      <c r="H7" s="15"/>
    </row>
    <row r="8" spans="1:8" s="1" customFormat="1" ht="24.9" customHeight="1" x14ac:dyDescent="0.25">
      <c r="A8" s="9">
        <v>1</v>
      </c>
      <c r="B8" s="17" t="s">
        <v>292</v>
      </c>
      <c r="C8" s="8"/>
      <c r="D8" s="8"/>
      <c r="E8" s="8"/>
      <c r="F8" s="8">
        <f>136+124</f>
        <v>260</v>
      </c>
      <c r="G8" s="8"/>
      <c r="H8" s="34"/>
    </row>
    <row r="9" spans="1:8" s="1" customFormat="1" ht="24.9" customHeight="1" x14ac:dyDescent="0.25">
      <c r="A9" s="12">
        <v>2</v>
      </c>
      <c r="B9" s="17" t="s">
        <v>293</v>
      </c>
      <c r="C9" s="8"/>
      <c r="D9" s="8"/>
      <c r="E9" s="8"/>
      <c r="F9" s="8">
        <f>176+212</f>
        <v>388</v>
      </c>
      <c r="G9" s="8"/>
      <c r="H9" s="34"/>
    </row>
    <row r="10" spans="1:8" s="1" customFormat="1" ht="24.9" customHeight="1" x14ac:dyDescent="0.25">
      <c r="A10" s="9">
        <v>3</v>
      </c>
      <c r="B10" s="17" t="s">
        <v>294</v>
      </c>
      <c r="C10" s="8"/>
      <c r="D10" s="8"/>
      <c r="E10" s="8"/>
      <c r="F10" s="8">
        <v>128</v>
      </c>
      <c r="G10" s="8"/>
      <c r="H10" s="22"/>
    </row>
    <row r="11" spans="1:8" s="1" customFormat="1" ht="24.9" customHeight="1" x14ac:dyDescent="0.25">
      <c r="A11" s="9">
        <v>4</v>
      </c>
      <c r="B11" s="17" t="s">
        <v>295</v>
      </c>
      <c r="C11" s="18"/>
      <c r="D11" s="18"/>
      <c r="E11" s="18"/>
      <c r="F11" s="8">
        <v>16</v>
      </c>
      <c r="G11" s="18"/>
      <c r="H11" s="35"/>
    </row>
    <row r="12" spans="1:8" s="1" customFormat="1" ht="24.9" customHeight="1" x14ac:dyDescent="0.25">
      <c r="A12" s="9"/>
      <c r="B12" s="17"/>
      <c r="C12" s="8"/>
      <c r="D12" s="18"/>
      <c r="E12" s="18"/>
      <c r="F12" s="18"/>
      <c r="G12" s="8"/>
      <c r="H12" s="22"/>
    </row>
    <row r="13" spans="1:8" s="1" customFormat="1" ht="24.9" customHeight="1" x14ac:dyDescent="0.25">
      <c r="A13" s="23"/>
      <c r="B13" s="17"/>
      <c r="C13" s="18"/>
      <c r="D13" s="18"/>
      <c r="E13" s="18"/>
      <c r="F13" s="18"/>
      <c r="G13" s="18"/>
      <c r="H13" s="26"/>
    </row>
    <row r="14" spans="1:8" s="1" customFormat="1" ht="24.9" customHeight="1" x14ac:dyDescent="0.25">
      <c r="A14" s="9"/>
      <c r="B14" s="17"/>
      <c r="C14" s="8"/>
      <c r="D14" s="18"/>
      <c r="E14" s="18"/>
      <c r="F14" s="18"/>
      <c r="G14" s="8"/>
      <c r="H14" s="22"/>
    </row>
    <row r="15" spans="1:8" s="2" customFormat="1" ht="24.9" customHeight="1" x14ac:dyDescent="0.25">
      <c r="A15" s="23"/>
      <c r="B15" s="17"/>
      <c r="C15" s="8"/>
      <c r="D15" s="24"/>
      <c r="E15" s="24"/>
      <c r="F15" s="24"/>
      <c r="G15" s="24"/>
      <c r="H15" s="25"/>
    </row>
    <row r="16" spans="1:8" s="1" customFormat="1" ht="24.9" customHeight="1" x14ac:dyDescent="0.25">
      <c r="A16" s="9"/>
      <c r="B16" s="17"/>
      <c r="C16" s="8"/>
      <c r="D16" s="18"/>
      <c r="E16" s="18"/>
      <c r="F16" s="18"/>
      <c r="G16" s="8"/>
      <c r="H16" s="22"/>
    </row>
    <row r="17" spans="1:8" s="1" customFormat="1" ht="24.9" customHeight="1" x14ac:dyDescent="0.25">
      <c r="A17" s="9"/>
      <c r="B17" s="17"/>
      <c r="C17" s="8"/>
      <c r="D17" s="18"/>
      <c r="E17" s="18"/>
      <c r="F17" s="18"/>
      <c r="G17" s="8"/>
      <c r="H17" s="22"/>
    </row>
    <row r="18" spans="1:8" s="1" customFormat="1" ht="24.9" customHeight="1" x14ac:dyDescent="0.25">
      <c r="A18" s="23"/>
      <c r="B18" s="17"/>
      <c r="C18" s="8"/>
      <c r="D18" s="18"/>
      <c r="E18" s="18"/>
      <c r="F18" s="18"/>
      <c r="G18" s="8"/>
      <c r="H18" s="26"/>
    </row>
    <row r="19" spans="1:8" s="1" customFormat="1" ht="24.9" customHeight="1" x14ac:dyDescent="0.25">
      <c r="A19" s="9"/>
      <c r="B19" s="17"/>
      <c r="C19" s="8"/>
      <c r="D19" s="18"/>
      <c r="E19" s="18"/>
      <c r="F19" s="18"/>
      <c r="G19" s="8"/>
      <c r="H19" s="22"/>
    </row>
    <row r="20" spans="1:8" s="1" customFormat="1" ht="24.9" customHeight="1" x14ac:dyDescent="0.25">
      <c r="A20" s="9"/>
      <c r="B20" s="17"/>
      <c r="C20" s="8"/>
      <c r="D20" s="18"/>
      <c r="E20" s="18"/>
      <c r="F20" s="18"/>
      <c r="G20" s="8"/>
      <c r="H20" s="22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6">
        <f>SUM(H7:H26)</f>
        <v>0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H27"/>
  <sheetViews>
    <sheetView view="pageBreakPreview" topLeftCell="A2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16" t="s">
        <v>2</v>
      </c>
      <c r="C2" s="116"/>
      <c r="D2" s="117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5</v>
      </c>
      <c r="C3" s="108"/>
      <c r="D3" s="109"/>
      <c r="E3" s="8" t="s">
        <v>6</v>
      </c>
      <c r="F3" s="121" t="s">
        <v>296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297</v>
      </c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12</v>
      </c>
      <c r="D6" s="8" t="s">
        <v>13</v>
      </c>
      <c r="E6" s="8" t="s">
        <v>14</v>
      </c>
      <c r="F6" s="8" t="s">
        <v>298</v>
      </c>
      <c r="G6" s="8" t="s">
        <v>16</v>
      </c>
      <c r="H6" s="11" t="s">
        <v>17</v>
      </c>
    </row>
    <row r="7" spans="1:8" s="1" customFormat="1" ht="24.9" customHeight="1" x14ac:dyDescent="0.25">
      <c r="A7" s="12" t="s">
        <v>32</v>
      </c>
      <c r="B7" s="13" t="s">
        <v>299</v>
      </c>
      <c r="C7" s="8"/>
      <c r="D7" s="8"/>
      <c r="E7" s="8"/>
      <c r="F7" s="14"/>
      <c r="G7" s="8"/>
      <c r="H7" s="15"/>
    </row>
    <row r="8" spans="1:8" s="1" customFormat="1" ht="24.9" customHeight="1" x14ac:dyDescent="0.25">
      <c r="A8" s="9">
        <v>1</v>
      </c>
      <c r="B8" s="17"/>
      <c r="C8" s="8"/>
      <c r="D8" s="8"/>
      <c r="E8" s="8"/>
      <c r="F8" s="8"/>
      <c r="G8" s="8"/>
      <c r="H8" s="33"/>
    </row>
    <row r="9" spans="1:8" s="1" customFormat="1" ht="24.9" customHeight="1" x14ac:dyDescent="0.25">
      <c r="A9" s="12">
        <v>2</v>
      </c>
      <c r="B9" s="17"/>
      <c r="C9" s="8"/>
      <c r="D9" s="8"/>
      <c r="E9" s="8"/>
      <c r="F9" s="8"/>
      <c r="G9" s="8"/>
      <c r="H9" s="33"/>
    </row>
    <row r="10" spans="1:8" s="1" customFormat="1" ht="24.9" customHeight="1" x14ac:dyDescent="0.25">
      <c r="A10" s="9">
        <v>3</v>
      </c>
      <c r="B10" s="17"/>
      <c r="C10" s="8"/>
      <c r="D10" s="8"/>
      <c r="E10" s="8"/>
      <c r="F10" s="8"/>
      <c r="G10" s="8"/>
      <c r="H10" s="19"/>
    </row>
    <row r="11" spans="1:8" s="1" customFormat="1" ht="24.9" customHeight="1" x14ac:dyDescent="0.25">
      <c r="A11" s="9">
        <v>4</v>
      </c>
      <c r="B11" s="17"/>
      <c r="C11" s="18"/>
      <c r="D11" s="18"/>
      <c r="E11" s="18"/>
      <c r="F11" s="8"/>
      <c r="G11" s="18"/>
      <c r="H11" s="19"/>
    </row>
    <row r="12" spans="1:8" s="1" customFormat="1" ht="24.9" customHeight="1" x14ac:dyDescent="0.25">
      <c r="A12" s="9">
        <v>5</v>
      </c>
      <c r="B12" s="21"/>
      <c r="C12" s="8"/>
      <c r="D12" s="18"/>
      <c r="E12" s="18"/>
      <c r="F12" s="8"/>
      <c r="G12" s="8"/>
      <c r="H12" s="19"/>
    </row>
    <row r="13" spans="1:8" s="1" customFormat="1" ht="24.9" customHeight="1" x14ac:dyDescent="0.25">
      <c r="A13" s="23"/>
      <c r="B13" s="21"/>
      <c r="C13" s="18"/>
      <c r="D13" s="18"/>
      <c r="E13" s="18"/>
      <c r="F13" s="8"/>
      <c r="G13" s="18"/>
      <c r="H13" s="19"/>
    </row>
    <row r="14" spans="1:8" s="1" customFormat="1" ht="24.9" customHeight="1" x14ac:dyDescent="0.25">
      <c r="A14" s="9"/>
      <c r="B14" s="17"/>
      <c r="C14" s="8"/>
      <c r="D14" s="18"/>
      <c r="E14" s="18"/>
      <c r="F14" s="18"/>
      <c r="G14" s="8"/>
      <c r="H14" s="22"/>
    </row>
    <row r="15" spans="1:8" s="2" customFormat="1" ht="24.9" customHeight="1" x14ac:dyDescent="0.25">
      <c r="A15" s="23"/>
      <c r="B15" s="17"/>
      <c r="C15" s="8"/>
      <c r="D15" s="24"/>
      <c r="E15" s="24"/>
      <c r="F15" s="24"/>
      <c r="G15" s="24"/>
      <c r="H15" s="25"/>
    </row>
    <row r="16" spans="1:8" s="1" customFormat="1" ht="24.9" customHeight="1" x14ac:dyDescent="0.25">
      <c r="A16" s="9"/>
      <c r="B16" s="17"/>
      <c r="C16" s="8"/>
      <c r="D16" s="18"/>
      <c r="E16" s="18"/>
      <c r="F16" s="18"/>
      <c r="G16" s="8"/>
      <c r="H16" s="22"/>
    </row>
    <row r="17" spans="1:8" s="1" customFormat="1" ht="24.9" customHeight="1" x14ac:dyDescent="0.25">
      <c r="A17" s="9"/>
      <c r="B17" s="17"/>
      <c r="C17" s="8"/>
      <c r="D17" s="18"/>
      <c r="E17" s="18"/>
      <c r="F17" s="18"/>
      <c r="G17" s="8"/>
      <c r="H17" s="22"/>
    </row>
    <row r="18" spans="1:8" s="1" customFormat="1" ht="24.9" customHeight="1" x14ac:dyDescent="0.25">
      <c r="A18" s="23"/>
      <c r="B18" s="17"/>
      <c r="C18" s="8"/>
      <c r="D18" s="18"/>
      <c r="E18" s="18"/>
      <c r="F18" s="18"/>
      <c r="G18" s="8"/>
      <c r="H18" s="26"/>
    </row>
    <row r="19" spans="1:8" s="1" customFormat="1" ht="24.9" customHeight="1" x14ac:dyDescent="0.25">
      <c r="A19" s="9"/>
      <c r="B19" s="17"/>
      <c r="C19" s="8"/>
      <c r="D19" s="18"/>
      <c r="E19" s="18"/>
      <c r="F19" s="18"/>
      <c r="G19" s="8"/>
      <c r="H19" s="22"/>
    </row>
    <row r="20" spans="1:8" s="1" customFormat="1" ht="24.9" customHeight="1" x14ac:dyDescent="0.25">
      <c r="A20" s="9"/>
      <c r="B20" s="17"/>
      <c r="C20" s="8"/>
      <c r="D20" s="18"/>
      <c r="E20" s="18"/>
      <c r="F20" s="18"/>
      <c r="G20" s="8"/>
      <c r="H20" s="22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2">
        <f>SUM(H7:H26)</f>
        <v>0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H27"/>
  <sheetViews>
    <sheetView view="pageBreakPreview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16" t="s">
        <v>2</v>
      </c>
      <c r="C2" s="116"/>
      <c r="D2" s="117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5</v>
      </c>
      <c r="C3" s="108"/>
      <c r="D3" s="109"/>
      <c r="E3" s="8" t="s">
        <v>6</v>
      </c>
      <c r="F3" s="121" t="s">
        <v>300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301</v>
      </c>
      <c r="D6" s="8" t="s">
        <v>302</v>
      </c>
      <c r="E6" s="8" t="s">
        <v>303</v>
      </c>
      <c r="F6" s="8" t="s">
        <v>15</v>
      </c>
      <c r="G6" s="8" t="s">
        <v>16</v>
      </c>
      <c r="H6" s="11" t="s">
        <v>17</v>
      </c>
    </row>
    <row r="7" spans="1:8" s="1" customFormat="1" ht="24.9" customHeight="1" x14ac:dyDescent="0.25">
      <c r="A7" s="12" t="s">
        <v>32</v>
      </c>
      <c r="B7" s="13" t="s">
        <v>304</v>
      </c>
      <c r="C7" s="8"/>
      <c r="D7" s="8"/>
      <c r="E7" s="8"/>
      <c r="F7" s="14"/>
      <c r="G7" s="8"/>
      <c r="H7" s="15"/>
    </row>
    <row r="8" spans="1:8" s="1" customFormat="1" ht="24.9" customHeight="1" x14ac:dyDescent="0.25">
      <c r="A8" s="9">
        <v>1</v>
      </c>
      <c r="B8" s="17" t="s">
        <v>305</v>
      </c>
      <c r="C8" s="8">
        <v>2.4</v>
      </c>
      <c r="D8" s="8">
        <v>0.8</v>
      </c>
      <c r="E8" s="8">
        <v>0.85</v>
      </c>
      <c r="F8" s="8">
        <v>1</v>
      </c>
      <c r="G8" s="8"/>
      <c r="H8" s="33">
        <f>1.68+0.88</f>
        <v>2.56</v>
      </c>
    </row>
    <row r="9" spans="1:8" s="1" customFormat="1" ht="24.9" customHeight="1" x14ac:dyDescent="0.25">
      <c r="A9" s="12">
        <v>2</v>
      </c>
      <c r="B9" s="17" t="s">
        <v>305</v>
      </c>
      <c r="C9" s="8">
        <v>7.6</v>
      </c>
      <c r="D9" s="8">
        <v>0.8</v>
      </c>
      <c r="E9" s="8">
        <v>0.55000000000000004</v>
      </c>
      <c r="F9" s="8">
        <v>1</v>
      </c>
      <c r="G9" s="8"/>
      <c r="H9" s="33">
        <f>7.41+3.04</f>
        <v>10.45</v>
      </c>
    </row>
    <row r="10" spans="1:8" s="1" customFormat="1" ht="24.9" customHeight="1" x14ac:dyDescent="0.25">
      <c r="A10" s="9">
        <v>3</v>
      </c>
      <c r="B10" s="17" t="s">
        <v>306</v>
      </c>
      <c r="C10" s="8">
        <v>7.6</v>
      </c>
      <c r="D10" s="8">
        <v>0.8</v>
      </c>
      <c r="E10" s="8">
        <v>0.6</v>
      </c>
      <c r="F10" s="8">
        <v>1</v>
      </c>
      <c r="G10" s="8"/>
      <c r="H10" s="19">
        <f>6.63+2.28</f>
        <v>8.91</v>
      </c>
    </row>
    <row r="11" spans="1:8" s="1" customFormat="1" ht="24.9" customHeight="1" x14ac:dyDescent="0.25">
      <c r="A11" s="9"/>
      <c r="B11" s="17"/>
      <c r="C11" s="18"/>
      <c r="D11" s="18"/>
      <c r="E11" s="18"/>
      <c r="F11" s="8"/>
      <c r="G11" s="18"/>
      <c r="H11" s="19"/>
    </row>
    <row r="12" spans="1:8" s="1" customFormat="1" ht="24.9" customHeight="1" x14ac:dyDescent="0.25">
      <c r="A12" s="9"/>
      <c r="B12" s="21"/>
      <c r="C12" s="8"/>
      <c r="D12" s="18"/>
      <c r="E12" s="18"/>
      <c r="F12" s="8"/>
      <c r="G12" s="8"/>
      <c r="H12" s="19"/>
    </row>
    <row r="13" spans="1:8" s="1" customFormat="1" ht="24.9" customHeight="1" x14ac:dyDescent="0.25">
      <c r="A13" s="23"/>
      <c r="B13" s="21"/>
      <c r="C13" s="18"/>
      <c r="D13" s="18"/>
      <c r="E13" s="18"/>
      <c r="F13" s="8"/>
      <c r="G13" s="18"/>
      <c r="H13" s="19"/>
    </row>
    <row r="14" spans="1:8" s="1" customFormat="1" ht="24.9" customHeight="1" x14ac:dyDescent="0.25">
      <c r="A14" s="9"/>
      <c r="B14" s="17"/>
      <c r="C14" s="8"/>
      <c r="D14" s="18"/>
      <c r="E14" s="18"/>
      <c r="F14" s="18"/>
      <c r="G14" s="8"/>
      <c r="H14" s="22"/>
    </row>
    <row r="15" spans="1:8" s="2" customFormat="1" ht="24.9" customHeight="1" x14ac:dyDescent="0.25">
      <c r="A15" s="23"/>
      <c r="B15" s="17"/>
      <c r="C15" s="8"/>
      <c r="D15" s="24"/>
      <c r="E15" s="24"/>
      <c r="F15" s="24"/>
      <c r="G15" s="24"/>
      <c r="H15" s="25"/>
    </row>
    <row r="16" spans="1:8" s="1" customFormat="1" ht="24.9" customHeight="1" x14ac:dyDescent="0.25">
      <c r="A16" s="9"/>
      <c r="B16" s="17"/>
      <c r="C16" s="8"/>
      <c r="D16" s="18"/>
      <c r="E16" s="18"/>
      <c r="F16" s="18"/>
      <c r="G16" s="8"/>
      <c r="H16" s="22"/>
    </row>
    <row r="17" spans="1:8" s="1" customFormat="1" ht="24.9" customHeight="1" x14ac:dyDescent="0.25">
      <c r="A17" s="9"/>
      <c r="B17" s="17"/>
      <c r="C17" s="8"/>
      <c r="D17" s="18"/>
      <c r="E17" s="18"/>
      <c r="F17" s="18"/>
      <c r="G17" s="8"/>
      <c r="H17" s="22"/>
    </row>
    <row r="18" spans="1:8" s="1" customFormat="1" ht="24.9" customHeight="1" x14ac:dyDescent="0.25">
      <c r="A18" s="23"/>
      <c r="B18" s="17"/>
      <c r="C18" s="8"/>
      <c r="D18" s="18"/>
      <c r="E18" s="18"/>
      <c r="F18" s="18"/>
      <c r="G18" s="8"/>
      <c r="H18" s="26"/>
    </row>
    <row r="19" spans="1:8" s="1" customFormat="1" ht="24.9" customHeight="1" x14ac:dyDescent="0.25">
      <c r="A19" s="9"/>
      <c r="B19" s="17"/>
      <c r="C19" s="8"/>
      <c r="D19" s="18"/>
      <c r="E19" s="18"/>
      <c r="F19" s="18"/>
      <c r="G19" s="8"/>
      <c r="H19" s="22"/>
    </row>
    <row r="20" spans="1:8" s="1" customFormat="1" ht="24.9" customHeight="1" x14ac:dyDescent="0.25">
      <c r="A20" s="9"/>
      <c r="B20" s="17"/>
      <c r="C20" s="8"/>
      <c r="D20" s="18"/>
      <c r="E20" s="18"/>
      <c r="F20" s="18"/>
      <c r="G20" s="8"/>
      <c r="H20" s="22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2">
        <f>SUM(H7:H26)</f>
        <v>21.92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H27"/>
  <sheetViews>
    <sheetView view="pageBreakPreview" topLeftCell="A10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16" t="s">
        <v>2</v>
      </c>
      <c r="C2" s="116"/>
      <c r="D2" s="117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5</v>
      </c>
      <c r="C3" s="108"/>
      <c r="D3" s="109"/>
      <c r="E3" s="8" t="s">
        <v>6</v>
      </c>
      <c r="F3" s="121" t="s">
        <v>307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290</v>
      </c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301</v>
      </c>
      <c r="D6" s="8" t="s">
        <v>302</v>
      </c>
      <c r="E6" s="8" t="s">
        <v>303</v>
      </c>
      <c r="F6" s="8" t="s">
        <v>15</v>
      </c>
      <c r="G6" s="8" t="s">
        <v>16</v>
      </c>
      <c r="H6" s="11" t="s">
        <v>17</v>
      </c>
    </row>
    <row r="7" spans="1:8" s="1" customFormat="1" ht="24.9" customHeight="1" x14ac:dyDescent="0.25">
      <c r="A7" s="12" t="s">
        <v>32</v>
      </c>
      <c r="B7" s="13" t="s">
        <v>307</v>
      </c>
      <c r="C7" s="8"/>
      <c r="D7" s="8"/>
      <c r="E7" s="8"/>
      <c r="F7" s="14"/>
      <c r="G7" s="8"/>
      <c r="H7" s="15"/>
    </row>
    <row r="8" spans="1:8" s="1" customFormat="1" ht="24.9" customHeight="1" x14ac:dyDescent="0.25">
      <c r="A8" s="12">
        <v>1</v>
      </c>
      <c r="B8" s="13" t="s">
        <v>308</v>
      </c>
      <c r="C8" s="8"/>
      <c r="D8" s="8"/>
      <c r="E8" s="8"/>
      <c r="F8" s="14">
        <v>36</v>
      </c>
      <c r="G8" s="8"/>
      <c r="H8" s="11">
        <v>36</v>
      </c>
    </row>
    <row r="9" spans="1:8" s="1" customFormat="1" ht="24.9" customHeight="1" x14ac:dyDescent="0.25">
      <c r="A9" s="9">
        <v>2</v>
      </c>
      <c r="B9" s="13" t="s">
        <v>309</v>
      </c>
      <c r="C9" s="8"/>
      <c r="D9" s="8"/>
      <c r="E9" s="8"/>
      <c r="F9" s="8">
        <v>24</v>
      </c>
      <c r="G9" s="8"/>
      <c r="H9" s="10">
        <v>24</v>
      </c>
    </row>
    <row r="10" spans="1:8" s="1" customFormat="1" ht="24.9" customHeight="1" x14ac:dyDescent="0.25">
      <c r="A10" s="12">
        <v>3</v>
      </c>
      <c r="B10" s="21" t="s">
        <v>310</v>
      </c>
      <c r="C10" s="8"/>
      <c r="D10" s="8"/>
      <c r="E10" s="8"/>
      <c r="F10" s="8">
        <v>128</v>
      </c>
      <c r="G10" s="8"/>
      <c r="H10" s="11">
        <v>128</v>
      </c>
    </row>
    <row r="11" spans="1:8" s="1" customFormat="1" ht="24.9" customHeight="1" x14ac:dyDescent="0.25">
      <c r="A11" s="9"/>
      <c r="B11" s="17"/>
      <c r="C11" s="18"/>
      <c r="D11" s="18"/>
      <c r="E11" s="18"/>
      <c r="F11" s="8"/>
      <c r="G11" s="18"/>
      <c r="H11" s="19"/>
    </row>
    <row r="12" spans="1:8" s="1" customFormat="1" ht="24.9" customHeight="1" x14ac:dyDescent="0.25">
      <c r="A12" s="9"/>
      <c r="B12" s="21"/>
      <c r="C12" s="8"/>
      <c r="D12" s="18"/>
      <c r="E12" s="18"/>
      <c r="F12" s="8"/>
      <c r="G12" s="8"/>
      <c r="H12" s="19"/>
    </row>
    <row r="13" spans="1:8" s="1" customFormat="1" ht="24.9" customHeight="1" x14ac:dyDescent="0.25">
      <c r="A13" s="23"/>
      <c r="B13" s="21"/>
      <c r="C13" s="18"/>
      <c r="D13" s="18"/>
      <c r="E13" s="18"/>
      <c r="F13" s="8"/>
      <c r="G13" s="18"/>
      <c r="H13" s="19"/>
    </row>
    <row r="14" spans="1:8" s="1" customFormat="1" ht="24.9" customHeight="1" x14ac:dyDescent="0.25">
      <c r="A14" s="9"/>
      <c r="B14" s="17"/>
      <c r="C14" s="8"/>
      <c r="D14" s="18"/>
      <c r="E14" s="18"/>
      <c r="F14" s="18"/>
      <c r="G14" s="8"/>
      <c r="H14" s="22"/>
    </row>
    <row r="15" spans="1:8" s="2" customFormat="1" ht="24.9" customHeight="1" x14ac:dyDescent="0.25">
      <c r="A15" s="23"/>
      <c r="B15" s="17"/>
      <c r="C15" s="8"/>
      <c r="D15" s="24"/>
      <c r="E15" s="24"/>
      <c r="F15" s="24"/>
      <c r="G15" s="24"/>
      <c r="H15" s="25"/>
    </row>
    <row r="16" spans="1:8" s="1" customFormat="1" ht="24.9" customHeight="1" x14ac:dyDescent="0.25">
      <c r="A16" s="9"/>
      <c r="B16" s="17"/>
      <c r="C16" s="8"/>
      <c r="D16" s="18"/>
      <c r="E16" s="18"/>
      <c r="F16" s="18"/>
      <c r="G16" s="8"/>
      <c r="H16" s="22"/>
    </row>
    <row r="17" spans="1:8" s="1" customFormat="1" ht="24.9" customHeight="1" x14ac:dyDescent="0.25">
      <c r="A17" s="9"/>
      <c r="B17" s="17"/>
      <c r="C17" s="8"/>
      <c r="D17" s="18"/>
      <c r="E17" s="18"/>
      <c r="F17" s="18"/>
      <c r="G17" s="8"/>
      <c r="H17" s="22"/>
    </row>
    <row r="18" spans="1:8" s="1" customFormat="1" ht="24.9" customHeight="1" x14ac:dyDescent="0.25">
      <c r="A18" s="23"/>
      <c r="B18" s="17"/>
      <c r="C18" s="8"/>
      <c r="D18" s="18"/>
      <c r="E18" s="18"/>
      <c r="F18" s="18"/>
      <c r="G18" s="8"/>
      <c r="H18" s="26"/>
    </row>
    <row r="19" spans="1:8" s="1" customFormat="1" ht="24.9" customHeight="1" x14ac:dyDescent="0.25">
      <c r="A19" s="9"/>
      <c r="B19" s="17"/>
      <c r="C19" s="8"/>
      <c r="D19" s="18"/>
      <c r="E19" s="18"/>
      <c r="F19" s="18"/>
      <c r="G19" s="8"/>
      <c r="H19" s="22"/>
    </row>
    <row r="20" spans="1:8" s="1" customFormat="1" ht="24.9" customHeight="1" x14ac:dyDescent="0.25">
      <c r="A20" s="9"/>
      <c r="B20" s="17"/>
      <c r="C20" s="8"/>
      <c r="D20" s="18"/>
      <c r="E20" s="18"/>
      <c r="F20" s="18"/>
      <c r="G20" s="8"/>
      <c r="H20" s="22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2">
        <f>SUM(H7:H26)</f>
        <v>188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H27"/>
  <sheetViews>
    <sheetView view="pageBreakPreview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16" t="s">
        <v>2</v>
      </c>
      <c r="C2" s="116"/>
      <c r="D2" s="117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5</v>
      </c>
      <c r="C3" s="108"/>
      <c r="D3" s="109"/>
      <c r="E3" s="8" t="s">
        <v>6</v>
      </c>
      <c r="F3" s="121" t="s">
        <v>311</v>
      </c>
      <c r="G3" s="122"/>
      <c r="H3" s="123"/>
    </row>
    <row r="4" spans="1:8" s="1" customFormat="1" ht="24.9" customHeight="1" x14ac:dyDescent="0.25">
      <c r="A4" s="9" t="s">
        <v>7</v>
      </c>
      <c r="B4" s="108" t="s">
        <v>228</v>
      </c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301</v>
      </c>
      <c r="D6" s="8" t="s">
        <v>302</v>
      </c>
      <c r="E6" s="8" t="s">
        <v>303</v>
      </c>
      <c r="F6" s="8" t="s">
        <v>15</v>
      </c>
      <c r="G6" s="8" t="s">
        <v>16</v>
      </c>
      <c r="H6" s="11" t="s">
        <v>17</v>
      </c>
    </row>
    <row r="7" spans="1:8" s="1" customFormat="1" ht="24.9" customHeight="1" x14ac:dyDescent="0.25">
      <c r="A7" s="12"/>
      <c r="B7" s="13"/>
      <c r="C7" s="8"/>
      <c r="D7" s="8"/>
      <c r="E7" s="8"/>
      <c r="F7" s="14"/>
      <c r="G7" s="8"/>
      <c r="H7" s="15"/>
    </row>
    <row r="8" spans="1:8" s="1" customFormat="1" ht="24.9" customHeight="1" x14ac:dyDescent="0.25">
      <c r="A8" s="12"/>
      <c r="B8" s="13"/>
      <c r="C8" s="8"/>
      <c r="D8" s="8"/>
      <c r="E8" s="8"/>
      <c r="F8" s="14"/>
      <c r="G8" s="8"/>
      <c r="H8" s="11"/>
    </row>
    <row r="9" spans="1:8" s="1" customFormat="1" ht="24.9" customHeight="1" x14ac:dyDescent="0.25">
      <c r="A9" s="9"/>
      <c r="B9" s="13"/>
      <c r="C9" s="8"/>
      <c r="D9" s="8"/>
      <c r="E9" s="8"/>
      <c r="F9" s="8"/>
      <c r="G9" s="8"/>
      <c r="H9" s="10"/>
    </row>
    <row r="10" spans="1:8" s="1" customFormat="1" ht="24.9" customHeight="1" x14ac:dyDescent="0.25">
      <c r="A10" s="12"/>
      <c r="B10" s="21"/>
      <c r="C10" s="8"/>
      <c r="D10" s="8"/>
      <c r="E10" s="8"/>
      <c r="F10" s="8"/>
      <c r="G10" s="8"/>
      <c r="H10" s="11"/>
    </row>
    <row r="11" spans="1:8" s="1" customFormat="1" ht="24.9" customHeight="1" x14ac:dyDescent="0.25">
      <c r="A11" s="9"/>
      <c r="B11" s="17"/>
      <c r="C11" s="18"/>
      <c r="D11" s="18"/>
      <c r="E11" s="18"/>
      <c r="F11" s="8"/>
      <c r="G11" s="18"/>
      <c r="H11" s="19"/>
    </row>
    <row r="12" spans="1:8" s="1" customFormat="1" ht="24.9" customHeight="1" x14ac:dyDescent="0.25">
      <c r="A12" s="9"/>
      <c r="B12" s="21"/>
      <c r="C12" s="8"/>
      <c r="D12" s="18"/>
      <c r="E12" s="18"/>
      <c r="F12" s="8"/>
      <c r="G12" s="8"/>
      <c r="H12" s="19"/>
    </row>
    <row r="13" spans="1:8" s="1" customFormat="1" ht="24.9" customHeight="1" x14ac:dyDescent="0.25">
      <c r="A13" s="23"/>
      <c r="B13" s="21"/>
      <c r="C13" s="18"/>
      <c r="D13" s="18"/>
      <c r="E13" s="18"/>
      <c r="F13" s="8"/>
      <c r="G13" s="18"/>
      <c r="H13" s="19"/>
    </row>
    <row r="14" spans="1:8" s="1" customFormat="1" ht="24.9" customHeight="1" x14ac:dyDescent="0.25">
      <c r="A14" s="9"/>
      <c r="B14" s="17"/>
      <c r="C14" s="8"/>
      <c r="D14" s="18"/>
      <c r="E14" s="18"/>
      <c r="F14" s="18"/>
      <c r="G14" s="8"/>
      <c r="H14" s="22"/>
    </row>
    <row r="15" spans="1:8" s="2" customFormat="1" ht="24.9" customHeight="1" x14ac:dyDescent="0.25">
      <c r="A15" s="23"/>
      <c r="B15" s="17"/>
      <c r="C15" s="8"/>
      <c r="D15" s="24"/>
      <c r="E15" s="24"/>
      <c r="F15" s="24"/>
      <c r="G15" s="24"/>
      <c r="H15" s="25"/>
    </row>
    <row r="16" spans="1:8" s="1" customFormat="1" ht="24.9" customHeight="1" x14ac:dyDescent="0.25">
      <c r="A16" s="9"/>
      <c r="B16" s="17"/>
      <c r="C16" s="8"/>
      <c r="D16" s="18"/>
      <c r="E16" s="18"/>
      <c r="F16" s="18"/>
      <c r="G16" s="8"/>
      <c r="H16" s="22"/>
    </row>
    <row r="17" spans="1:8" s="1" customFormat="1" ht="24.9" customHeight="1" x14ac:dyDescent="0.25">
      <c r="A17" s="9"/>
      <c r="B17" s="17"/>
      <c r="C17" s="8"/>
      <c r="D17" s="18"/>
      <c r="E17" s="18"/>
      <c r="F17" s="18"/>
      <c r="G17" s="8"/>
      <c r="H17" s="22"/>
    </row>
    <row r="18" spans="1:8" s="1" customFormat="1" ht="24.9" customHeight="1" x14ac:dyDescent="0.25">
      <c r="A18" s="23"/>
      <c r="B18" s="17"/>
      <c r="C18" s="8"/>
      <c r="D18" s="18"/>
      <c r="E18" s="18"/>
      <c r="F18" s="18"/>
      <c r="G18" s="8"/>
      <c r="H18" s="26"/>
    </row>
    <row r="19" spans="1:8" s="1" customFormat="1" ht="24.9" customHeight="1" x14ac:dyDescent="0.25">
      <c r="A19" s="9"/>
      <c r="B19" s="17"/>
      <c r="C19" s="8"/>
      <c r="D19" s="18"/>
      <c r="E19" s="18"/>
      <c r="F19" s="18"/>
      <c r="G19" s="8"/>
      <c r="H19" s="22"/>
    </row>
    <row r="20" spans="1:8" s="1" customFormat="1" ht="24.9" customHeight="1" x14ac:dyDescent="0.25">
      <c r="A20" s="9"/>
      <c r="B20" s="17"/>
      <c r="C20" s="8"/>
      <c r="D20" s="18"/>
      <c r="E20" s="18"/>
      <c r="F20" s="18"/>
      <c r="G20" s="8"/>
      <c r="H20" s="22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2">
        <f>SUM(H7:H26)</f>
        <v>0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H27"/>
  <sheetViews>
    <sheetView view="pageBreakPreview" topLeftCell="A4" zoomScaleNormal="100" workbookViewId="0">
      <selection activeCell="D15" sqref="D15"/>
    </sheetView>
  </sheetViews>
  <sheetFormatPr defaultColWidth="9" defaultRowHeight="14.4" x14ac:dyDescent="0.25"/>
  <cols>
    <col min="1" max="1" width="8.77734375" customWidth="1"/>
    <col min="2" max="2" width="13.44140625" customWidth="1"/>
    <col min="4" max="4" width="10.6640625" customWidth="1"/>
    <col min="5" max="6" width="12" customWidth="1"/>
    <col min="8" max="8" width="11.6640625" customWidth="1"/>
  </cols>
  <sheetData>
    <row r="1" spans="1:8" s="1" customFormat="1" ht="30" customHeight="1" x14ac:dyDescent="0.25">
      <c r="A1" s="115" t="s">
        <v>0</v>
      </c>
      <c r="B1" s="115"/>
      <c r="C1" s="115"/>
      <c r="D1" s="115"/>
      <c r="E1" s="115"/>
      <c r="F1" s="115"/>
      <c r="G1" s="115"/>
      <c r="H1" s="115"/>
    </row>
    <row r="2" spans="1:8" s="1" customFormat="1" ht="24.9" customHeight="1" x14ac:dyDescent="0.25">
      <c r="A2" s="4" t="s">
        <v>1</v>
      </c>
      <c r="B2" s="116" t="s">
        <v>2</v>
      </c>
      <c r="C2" s="116"/>
      <c r="D2" s="117"/>
      <c r="E2" s="5" t="s">
        <v>3</v>
      </c>
      <c r="F2" s="118"/>
      <c r="G2" s="119"/>
      <c r="H2" s="120"/>
    </row>
    <row r="3" spans="1:8" s="1" customFormat="1" ht="24.9" customHeight="1" x14ac:dyDescent="0.25">
      <c r="A3" s="6" t="s">
        <v>4</v>
      </c>
      <c r="B3" s="108" t="s">
        <v>5</v>
      </c>
      <c r="C3" s="108"/>
      <c r="D3" s="109"/>
      <c r="E3" s="8" t="s">
        <v>6</v>
      </c>
      <c r="F3" s="121"/>
      <c r="G3" s="122"/>
      <c r="H3" s="123"/>
    </row>
    <row r="4" spans="1:8" s="1" customFormat="1" ht="24.9" customHeight="1" x14ac:dyDescent="0.25">
      <c r="A4" s="9" t="s">
        <v>7</v>
      </c>
      <c r="B4" s="108" t="s">
        <v>290</v>
      </c>
      <c r="C4" s="108"/>
      <c r="D4" s="109"/>
      <c r="E4" s="8" t="s">
        <v>8</v>
      </c>
      <c r="F4" s="110"/>
      <c r="G4" s="110"/>
      <c r="H4" s="111"/>
    </row>
    <row r="5" spans="1:8" s="1" customFormat="1" ht="24.9" customHeight="1" x14ac:dyDescent="0.25">
      <c r="A5" s="112" t="s">
        <v>9</v>
      </c>
      <c r="B5" s="113"/>
      <c r="C5" s="113"/>
      <c r="D5" s="113"/>
      <c r="E5" s="113"/>
      <c r="F5" s="113"/>
      <c r="G5" s="113"/>
      <c r="H5" s="114"/>
    </row>
    <row r="6" spans="1:8" s="1" customFormat="1" ht="24.9" customHeight="1" x14ac:dyDescent="0.25">
      <c r="A6" s="9" t="s">
        <v>10</v>
      </c>
      <c r="B6" s="7" t="s">
        <v>11</v>
      </c>
      <c r="C6" s="8" t="s">
        <v>301</v>
      </c>
      <c r="D6" s="8" t="s">
        <v>302</v>
      </c>
      <c r="E6" s="8" t="s">
        <v>303</v>
      </c>
      <c r="F6" s="8" t="s">
        <v>15</v>
      </c>
      <c r="G6" s="8" t="s">
        <v>312</v>
      </c>
      <c r="H6" s="11" t="s">
        <v>17</v>
      </c>
    </row>
    <row r="7" spans="1:8" s="1" customFormat="1" ht="24.9" customHeight="1" x14ac:dyDescent="0.25">
      <c r="A7" s="12" t="s">
        <v>32</v>
      </c>
      <c r="B7" s="13" t="s">
        <v>313</v>
      </c>
      <c r="C7" s="8"/>
      <c r="D7" s="8"/>
      <c r="E7" s="8"/>
      <c r="F7" s="14"/>
      <c r="G7" s="8"/>
      <c r="H7" s="15"/>
    </row>
    <row r="8" spans="1:8" s="1" customFormat="1" ht="24.9" customHeight="1" x14ac:dyDescent="0.25">
      <c r="A8" s="12">
        <v>1</v>
      </c>
      <c r="B8" s="13" t="s">
        <v>314</v>
      </c>
      <c r="C8" s="8">
        <v>1.1000000000000001</v>
      </c>
      <c r="D8" s="8">
        <v>1.1000000000000001</v>
      </c>
      <c r="E8" s="8">
        <v>3.8</v>
      </c>
      <c r="F8" s="14">
        <v>1</v>
      </c>
      <c r="G8" s="8">
        <v>4</v>
      </c>
      <c r="H8" s="11">
        <f>C8*D8*E8*F8*G8</f>
        <v>18.392000000000003</v>
      </c>
    </row>
    <row r="9" spans="1:8" s="1" customFormat="1" ht="24.9" customHeight="1" x14ac:dyDescent="0.25">
      <c r="A9" s="9">
        <v>2</v>
      </c>
      <c r="B9" s="13" t="s">
        <v>315</v>
      </c>
      <c r="C9" s="8">
        <v>1.1000000000000001</v>
      </c>
      <c r="D9" s="8">
        <v>1.1000000000000001</v>
      </c>
      <c r="E9" s="8">
        <v>7.7</v>
      </c>
      <c r="F9" s="8">
        <v>1</v>
      </c>
      <c r="G9" s="8">
        <v>4</v>
      </c>
      <c r="H9" s="11">
        <f>C9*D9*E9*F9*G9</f>
        <v>37.268000000000008</v>
      </c>
    </row>
    <row r="10" spans="1:8" s="1" customFormat="1" ht="24.9" customHeight="1" x14ac:dyDescent="0.25">
      <c r="A10" s="12" t="s">
        <v>230</v>
      </c>
      <c r="B10" s="16" t="s">
        <v>316</v>
      </c>
      <c r="C10" s="8"/>
      <c r="D10" s="8"/>
      <c r="E10" s="8"/>
      <c r="F10" s="8"/>
      <c r="G10" s="8"/>
      <c r="H10" s="11"/>
    </row>
    <row r="11" spans="1:8" s="1" customFormat="1" ht="24.9" customHeight="1" x14ac:dyDescent="0.25">
      <c r="A11" s="9">
        <v>1</v>
      </c>
      <c r="B11" s="17" t="s">
        <v>317</v>
      </c>
      <c r="C11" s="8">
        <v>3.1</v>
      </c>
      <c r="D11" s="8">
        <v>0.4</v>
      </c>
      <c r="E11" s="8">
        <v>0.8</v>
      </c>
      <c r="F11" s="8">
        <v>1</v>
      </c>
      <c r="G11" s="18"/>
      <c r="H11" s="19">
        <v>6.2</v>
      </c>
    </row>
    <row r="12" spans="1:8" s="1" customFormat="1" ht="24.9" customHeight="1" x14ac:dyDescent="0.25">
      <c r="A12" s="9" t="s">
        <v>280</v>
      </c>
      <c r="B12" s="16" t="s">
        <v>318</v>
      </c>
      <c r="C12" s="8"/>
      <c r="D12" s="8"/>
      <c r="E12" s="8"/>
      <c r="F12" s="8"/>
      <c r="G12" s="8"/>
      <c r="H12" s="19"/>
    </row>
    <row r="13" spans="1:8" s="1" customFormat="1" ht="24.9" customHeight="1" x14ac:dyDescent="0.25">
      <c r="A13" s="20">
        <v>1</v>
      </c>
      <c r="B13" s="21" t="s">
        <v>319</v>
      </c>
      <c r="C13" s="8">
        <v>6.25</v>
      </c>
      <c r="D13" s="8">
        <v>0.3</v>
      </c>
      <c r="E13" s="8">
        <v>5.3</v>
      </c>
      <c r="F13" s="8">
        <v>1</v>
      </c>
      <c r="G13" s="8">
        <v>2</v>
      </c>
      <c r="H13" s="19">
        <f>C13*E13*G13*F13</f>
        <v>66.25</v>
      </c>
    </row>
    <row r="14" spans="1:8" s="1" customFormat="1" ht="24.9" customHeight="1" x14ac:dyDescent="0.25">
      <c r="A14" s="9">
        <v>2</v>
      </c>
      <c r="B14" s="21" t="s">
        <v>319</v>
      </c>
      <c r="C14" s="8">
        <v>7.6</v>
      </c>
      <c r="D14" s="8">
        <v>0.3</v>
      </c>
      <c r="E14" s="8">
        <v>5.3</v>
      </c>
      <c r="F14" s="18">
        <v>1</v>
      </c>
      <c r="G14" s="8">
        <v>2</v>
      </c>
      <c r="H14" s="22">
        <f>C14*E14*G14*F14</f>
        <v>80.559999999999988</v>
      </c>
    </row>
    <row r="15" spans="1:8" s="2" customFormat="1" ht="24.9" customHeight="1" x14ac:dyDescent="0.25">
      <c r="A15" s="23"/>
      <c r="B15" s="17"/>
      <c r="C15" s="8"/>
      <c r="D15" s="24"/>
      <c r="E15" s="24"/>
      <c r="F15" s="24"/>
      <c r="G15" s="24"/>
      <c r="H15" s="25"/>
    </row>
    <row r="16" spans="1:8" s="1" customFormat="1" ht="24.9" customHeight="1" x14ac:dyDescent="0.25">
      <c r="A16" s="9"/>
      <c r="B16" s="17"/>
      <c r="C16" s="8"/>
      <c r="D16" s="18"/>
      <c r="E16" s="18"/>
      <c r="F16" s="18"/>
      <c r="G16" s="8"/>
      <c r="H16" s="22"/>
    </row>
    <row r="17" spans="1:8" s="1" customFormat="1" ht="24.9" customHeight="1" x14ac:dyDescent="0.25">
      <c r="A17" s="9"/>
      <c r="B17" s="17"/>
      <c r="C17" s="8"/>
      <c r="D17" s="18"/>
      <c r="E17" s="18"/>
      <c r="F17" s="18"/>
      <c r="G17" s="8"/>
      <c r="H17" s="22"/>
    </row>
    <row r="18" spans="1:8" s="1" customFormat="1" ht="24.9" customHeight="1" x14ac:dyDescent="0.25">
      <c r="A18" s="23"/>
      <c r="B18" s="17"/>
      <c r="C18" s="8"/>
      <c r="D18" s="18"/>
      <c r="E18" s="18"/>
      <c r="F18" s="18"/>
      <c r="G18" s="8"/>
      <c r="H18" s="26"/>
    </row>
    <row r="19" spans="1:8" s="1" customFormat="1" ht="24.9" customHeight="1" x14ac:dyDescent="0.25">
      <c r="A19" s="9"/>
      <c r="B19" s="17"/>
      <c r="C19" s="8"/>
      <c r="D19" s="18"/>
      <c r="E19" s="18"/>
      <c r="F19" s="18"/>
      <c r="G19" s="8"/>
      <c r="H19" s="22"/>
    </row>
    <row r="20" spans="1:8" s="1" customFormat="1" ht="24.9" customHeight="1" x14ac:dyDescent="0.25">
      <c r="A20" s="9"/>
      <c r="B20" s="17"/>
      <c r="C20" s="8"/>
      <c r="D20" s="18"/>
      <c r="E20" s="18"/>
      <c r="F20" s="18"/>
      <c r="G20" s="8"/>
      <c r="H20" s="22"/>
    </row>
    <row r="21" spans="1:8" s="1" customFormat="1" ht="24.9" customHeight="1" x14ac:dyDescent="0.25">
      <c r="A21" s="27"/>
      <c r="B21" s="28"/>
      <c r="C21" s="18"/>
      <c r="D21" s="18"/>
      <c r="E21" s="18"/>
      <c r="F21" s="18"/>
      <c r="G21" s="18"/>
      <c r="H21" s="26"/>
    </row>
    <row r="22" spans="1:8" s="1" customFormat="1" ht="24.9" customHeight="1" x14ac:dyDescent="0.25">
      <c r="A22" s="27"/>
      <c r="B22" s="28"/>
      <c r="C22" s="18"/>
      <c r="D22" s="18"/>
      <c r="E22" s="18"/>
      <c r="F22" s="18"/>
      <c r="G22" s="18"/>
      <c r="H22" s="26"/>
    </row>
    <row r="23" spans="1:8" s="1" customFormat="1" ht="24.9" customHeight="1" x14ac:dyDescent="0.25">
      <c r="A23" s="27"/>
      <c r="B23" s="28"/>
      <c r="C23" s="18"/>
      <c r="D23" s="18"/>
      <c r="E23" s="18"/>
      <c r="F23" s="18"/>
      <c r="G23" s="18"/>
      <c r="H23" s="26"/>
    </row>
    <row r="24" spans="1:8" s="3" customFormat="1" ht="24.9" customHeight="1" x14ac:dyDescent="0.25">
      <c r="A24" s="27"/>
      <c r="B24" s="28"/>
      <c r="C24" s="18"/>
      <c r="D24" s="18"/>
      <c r="E24" s="18"/>
      <c r="F24" s="18"/>
      <c r="G24" s="18"/>
      <c r="H24" s="26"/>
    </row>
    <row r="25" spans="1:8" s="3" customFormat="1" ht="24.9" customHeight="1" x14ac:dyDescent="0.25">
      <c r="A25" s="27"/>
      <c r="B25" s="28"/>
      <c r="C25" s="18"/>
      <c r="D25" s="18"/>
      <c r="E25" s="18"/>
      <c r="F25" s="18"/>
      <c r="G25" s="18"/>
      <c r="H25" s="26"/>
    </row>
    <row r="26" spans="1:8" s="3" customFormat="1" ht="24.9" customHeight="1" x14ac:dyDescent="0.25">
      <c r="A26" s="27"/>
      <c r="B26" s="28"/>
      <c r="C26" s="18"/>
      <c r="D26" s="18"/>
      <c r="E26" s="18"/>
      <c r="F26" s="18"/>
      <c r="G26" s="18"/>
      <c r="H26" s="26"/>
    </row>
    <row r="27" spans="1:8" s="3" customFormat="1" ht="24.9" customHeight="1" x14ac:dyDescent="0.25">
      <c r="A27" s="29" t="s">
        <v>18</v>
      </c>
      <c r="B27" s="30"/>
      <c r="C27" s="31"/>
      <c r="D27" s="31"/>
      <c r="E27" s="31"/>
      <c r="F27" s="31"/>
      <c r="G27" s="31"/>
      <c r="H27" s="32">
        <f>SUM(H7:H26)</f>
        <v>208.67000000000002</v>
      </c>
    </row>
  </sheetData>
  <mergeCells count="8">
    <mergeCell ref="B4:D4"/>
    <mergeCell ref="F4:H4"/>
    <mergeCell ref="A5:H5"/>
    <mergeCell ref="A1:H1"/>
    <mergeCell ref="B2:D2"/>
    <mergeCell ref="F2:H2"/>
    <mergeCell ref="B3:D3"/>
    <mergeCell ref="F3:H3"/>
  </mergeCells>
  <phoneticPr fontId="18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75</vt:i4>
      </vt:variant>
    </vt:vector>
  </HeadingPairs>
  <TitlesOfParts>
    <vt:vector size="75" baseType="lpstr">
      <vt:lpstr>穿孔 (2)</vt:lpstr>
      <vt:lpstr>创建副本--类推 (4)</vt:lpstr>
      <vt:lpstr>地上建筑工程-门窗</vt:lpstr>
      <vt:lpstr>MF(C)ID1023</vt:lpstr>
      <vt:lpstr>MF(A)ID1023</vt:lpstr>
      <vt:lpstr>MF(A)ID1423</vt:lpstr>
      <vt:lpstr>MF(A)ID1523 </vt:lpstr>
      <vt:lpstr>TAF(A)D1523 </vt:lpstr>
      <vt:lpstr>MF(A)PD1523 </vt:lpstr>
      <vt:lpstr>MF(C)D0621 </vt:lpstr>
      <vt:lpstr>MF(C)D0921 </vt:lpstr>
      <vt:lpstr>TAF(C)D0923 </vt:lpstr>
      <vt:lpstr>TAF(C)D0923(1) </vt:lpstr>
      <vt:lpstr>MF(A)D1023 </vt:lpstr>
      <vt:lpstr>TAF(C)D1123 </vt:lpstr>
      <vt:lpstr>MF(A)D1223 </vt:lpstr>
      <vt:lpstr>TAGF(A)D2323.f </vt:lpstr>
      <vt:lpstr>MGF(B)D1023 </vt:lpstr>
      <vt:lpstr>MF(A)D1123 </vt:lpstr>
      <vt:lpstr>TAF(B)D10'23 </vt:lpstr>
      <vt:lpstr>TAF(B)D1123(1) </vt:lpstr>
      <vt:lpstr>MGF(B)PD1523 </vt:lpstr>
      <vt:lpstr>MGF(B)D1523 </vt:lpstr>
      <vt:lpstr>MD1021 </vt:lpstr>
      <vt:lpstr>MGD1023 </vt:lpstr>
      <vt:lpstr>MD1121 </vt:lpstr>
      <vt:lpstr>MD1123 </vt:lpstr>
      <vt:lpstr>TAF(B)D1123 </vt:lpstr>
      <vt:lpstr>TAPD1123 </vt:lpstr>
      <vt:lpstr>TGAF(B)D1423.e.t </vt:lpstr>
      <vt:lpstr>TAGF(B)D1423.e.t </vt:lpstr>
      <vt:lpstr>TAF(B)PD1523 </vt:lpstr>
      <vt:lpstr>TAGF(B)D15'23.f </vt:lpstr>
      <vt:lpstr>TAGF(A)D15'23.f</vt:lpstr>
      <vt:lpstr>MGF(B)D1423.t </vt:lpstr>
      <vt:lpstr>TGAF(B)D1423.e.t(1) </vt:lpstr>
      <vt:lpstr>TGAF(B)D1523.t </vt:lpstr>
      <vt:lpstr>TAF(B)D1123(2) </vt:lpstr>
      <vt:lpstr>TAD1123 </vt:lpstr>
      <vt:lpstr>TGAF(B)D1523.e.t </vt:lpstr>
      <vt:lpstr>TAF(B)D1024' </vt:lpstr>
      <vt:lpstr>TAF(B)D10'24' </vt:lpstr>
      <vt:lpstr>TAF(B)D1523 </vt:lpstr>
      <vt:lpstr>TAGF(B)D1823 </vt:lpstr>
      <vt:lpstr>MGID1423.e.t </vt:lpstr>
      <vt:lpstr>MGID1223 </vt:lpstr>
      <vt:lpstr>TAF(A)D2124.e </vt:lpstr>
      <vt:lpstr>TAF(A)D1824 </vt:lpstr>
      <vt:lpstr>TAF(A)D2831'.f </vt:lpstr>
      <vt:lpstr>MGF(B)PD1123</vt:lpstr>
      <vt:lpstr>TAF(B)D1023(1)</vt:lpstr>
      <vt:lpstr>TAF(C)D1023(1)</vt:lpstr>
      <vt:lpstr>砌块墙</vt:lpstr>
      <vt:lpstr>坎台</vt:lpstr>
      <vt:lpstr>构造柱砼</vt:lpstr>
      <vt:lpstr>过梁</vt:lpstr>
      <vt:lpstr>圈梁</vt:lpstr>
      <vt:lpstr>坎台模板</vt:lpstr>
      <vt:lpstr>构造柱模板</vt:lpstr>
      <vt:lpstr>过梁模板</vt:lpstr>
      <vt:lpstr>圈梁模板 </vt:lpstr>
      <vt:lpstr>墙体压筋</vt:lpstr>
      <vt:lpstr>10以内钢筋</vt:lpstr>
      <vt:lpstr>钢筋12</vt:lpstr>
      <vt:lpstr>植筋</vt:lpstr>
      <vt:lpstr>拆除砌块墙</vt:lpstr>
      <vt:lpstr>拆除钢筋混凝土</vt:lpstr>
      <vt:lpstr>垃圾消纳</vt:lpstr>
      <vt:lpstr>钢筋重量</vt:lpstr>
      <vt:lpstr>焊接连接</vt:lpstr>
      <vt:lpstr>混凝土浇筑</vt:lpstr>
      <vt:lpstr>碳纤维布加固</vt:lpstr>
      <vt:lpstr>打洞（孔）</vt:lpstr>
      <vt:lpstr>钢筋除锈</vt:lpstr>
      <vt:lpstr>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99252</dc:creator>
  <cp:lastModifiedBy>Working-A4000</cp:lastModifiedBy>
  <dcterms:created xsi:type="dcterms:W3CDTF">2024-09-04T02:03:00Z</dcterms:created>
  <dcterms:modified xsi:type="dcterms:W3CDTF">2025-12-12T01:15:42Z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5B2CA209E4934813980749744D46A67C_13</vt:lpwstr>
  </property>
  <property fmtid="{D5CDD505-2E9C-101B-9397-08002B2CF9AE}" pid="3" name="KSOProductBuildVer">
    <vt:lpwstr>2052-12.1.0.15358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SetDate">
    <vt:lpwstr>2025-11-11T08:50:43Z</vt:lpwstr>
  </property>
  <property fmtid="{D5CDD505-2E9C-101B-9397-08002B2CF9AE}" pid="6" name="MSIP_Label_defa4170-0d19-0005-0004-bc88714345d2_Method">
    <vt:lpwstr>Standard</vt:lpwstr>
  </property>
  <property fmtid="{D5CDD505-2E9C-101B-9397-08002B2CF9AE}" pid="7" name="MSIP_Label_defa4170-0d19-0005-0004-bc88714345d2_Name">
    <vt:lpwstr>defa4170-0d19-0005-0004-bc88714345d2</vt:lpwstr>
  </property>
  <property fmtid="{D5CDD505-2E9C-101B-9397-08002B2CF9AE}" pid="8" name="MSIP_Label_defa4170-0d19-0005-0004-bc88714345d2_SiteId">
    <vt:lpwstr>81d16110-b2e1-4d84-8a6b-94289f8faaad</vt:lpwstr>
  </property>
  <property fmtid="{D5CDD505-2E9C-101B-9397-08002B2CF9AE}" pid="9" name="MSIP_Label_defa4170-0d19-0005-0004-bc88714345d2_ActionId">
    <vt:lpwstr>3d32f648-be63-409f-9ec5-f72ed0f176f4</vt:lpwstr>
  </property>
  <property fmtid="{D5CDD505-2E9C-101B-9397-08002B2CF9AE}" pid="10" name="MSIP_Label_defa4170-0d19-0005-0004-bc88714345d2_ContentBits">
    <vt:lpwstr>0</vt:lpwstr>
  </property>
  <property fmtid="{D5CDD505-2E9C-101B-9397-08002B2CF9AE}" pid="11" name="MSIP_Label_defa4170-0d19-0005-0004-bc88714345d2_Tag">
    <vt:lpwstr>10, 3, 0, 1</vt:lpwstr>
  </property>
</Properties>
</file>